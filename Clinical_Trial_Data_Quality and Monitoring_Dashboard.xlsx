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larivate-my.sharepoint.com/personal/shaziya_thabassumj_clarivate_com/Documents/Desktop/"/>
    </mc:Choice>
  </mc:AlternateContent>
  <xr:revisionPtr revIDLastSave="0" documentId="8_{42F12653-6473-4B27-B05C-7A3C3E5AE0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ad Me" sheetId="1" r:id="rId1"/>
    <sheet name="Dashboard" sheetId="2" r:id="rId2"/>
    <sheet name="Subjects" sheetId="3" r:id="rId3"/>
    <sheet name="Visits" sheetId="4" r:id="rId4"/>
    <sheet name="Adverse Events" sheetId="5" r:id="rId5"/>
    <sheet name="Data Checks" sheetId="6" r:id="rId6"/>
    <sheet name="Query Log" sheetId="7" r:id="rId7"/>
    <sheet name="Check Rules" sheetId="8" r:id="rId8"/>
  </sheets>
  <definedNames>
    <definedName name="_xlnm._FilterDatabase" localSheetId="4" hidden="1">'Adverse Events'!$A$1:$J$61</definedName>
    <definedName name="_xlnm._FilterDatabase" localSheetId="5" hidden="1">'Data Checks'!$A$1:$J$19</definedName>
    <definedName name="_xlnm._FilterDatabase" localSheetId="6" hidden="1">'Query Log'!$A$1:$L$18</definedName>
    <definedName name="_xlnm._FilterDatabase" localSheetId="2" hidden="1">Subjects!$A$1:$H$82</definedName>
    <definedName name="_xlnm._FilterDatabase" localSheetId="3" hidden="1">Visits!$A$1:$I$293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" i="7" l="1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15" i="6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19" i="6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6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8" i="6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16" i="6" s="1"/>
  <c r="I5" i="5"/>
  <c r="J5" i="5" s="1"/>
  <c r="I4" i="5"/>
  <c r="J4" i="5" s="1"/>
  <c r="I3" i="5"/>
  <c r="I2" i="5"/>
  <c r="J2" i="5" s="1"/>
  <c r="I293" i="4"/>
  <c r="I13" i="6" s="1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4" i="6" s="1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2" i="6" s="1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11" i="6" s="1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10" i="6" s="1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9" i="6" s="1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8" i="6" s="1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82" i="3"/>
  <c r="I3" i="6" s="1"/>
  <c r="H81" i="3"/>
  <c r="H80" i="3"/>
  <c r="H79" i="3"/>
  <c r="H78" i="3"/>
  <c r="H77" i="3"/>
  <c r="H76" i="3"/>
  <c r="H75" i="3"/>
  <c r="H74" i="3"/>
  <c r="I5" i="6" s="1"/>
  <c r="H73" i="3"/>
  <c r="H72" i="3"/>
  <c r="H71" i="3"/>
  <c r="H70" i="3"/>
  <c r="H69" i="3"/>
  <c r="H68" i="3"/>
  <c r="H67" i="3"/>
  <c r="I7" i="6" s="1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I6" i="6" s="1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I4" i="6" s="1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I2" i="6" s="1"/>
  <c r="H11" i="3"/>
  <c r="H10" i="3"/>
  <c r="H9" i="3"/>
  <c r="H8" i="3"/>
  <c r="H7" i="3"/>
  <c r="H6" i="3"/>
  <c r="H5" i="3"/>
  <c r="H4" i="3"/>
  <c r="H3" i="3"/>
  <c r="H2" i="3"/>
  <c r="B47" i="2"/>
  <c r="B46" i="2"/>
  <c r="B45" i="2"/>
  <c r="B44" i="2"/>
  <c r="C40" i="2"/>
  <c r="C39" i="2"/>
  <c r="C38" i="2"/>
  <c r="C34" i="2"/>
  <c r="B34" i="2"/>
  <c r="C33" i="2"/>
  <c r="B33" i="2"/>
  <c r="C32" i="2"/>
  <c r="B32" i="2"/>
  <c r="C31" i="2"/>
  <c r="B31" i="2"/>
  <c r="C30" i="2"/>
  <c r="B30" i="2"/>
  <c r="C25" i="2"/>
  <c r="B25" i="2"/>
  <c r="C24" i="2"/>
  <c r="B24" i="2"/>
  <c r="B20" i="2"/>
  <c r="B19" i="2"/>
  <c r="B18" i="2"/>
  <c r="B17" i="2"/>
  <c r="B12" i="2"/>
  <c r="B10" i="2"/>
  <c r="B9" i="2"/>
  <c r="B8" i="2"/>
  <c r="B7" i="2"/>
  <c r="B6" i="2"/>
  <c r="B5" i="2"/>
  <c r="B3" i="2"/>
  <c r="C20" i="2" l="1"/>
  <c r="C17" i="2"/>
  <c r="C18" i="2"/>
  <c r="C19" i="2"/>
  <c r="B13" i="2"/>
  <c r="D33" i="2"/>
  <c r="E33" i="2" s="1"/>
  <c r="D25" i="2"/>
  <c r="D32" i="2"/>
  <c r="E32" i="2" s="1"/>
  <c r="D34" i="2"/>
  <c r="E34" i="2" s="1"/>
  <c r="E25" i="2"/>
  <c r="H25" i="2" s="1"/>
  <c r="D31" i="2"/>
  <c r="E31" i="2" s="1"/>
  <c r="D24" i="2"/>
  <c r="B39" i="2"/>
  <c r="D39" i="2" s="1"/>
  <c r="B38" i="2"/>
  <c r="D38" i="2" s="1"/>
  <c r="D30" i="2"/>
  <c r="E30" i="2" s="1"/>
  <c r="G24" i="2"/>
  <c r="G25" i="2"/>
  <c r="E24" i="2"/>
  <c r="J3" i="5"/>
  <c r="B40" i="2" s="1"/>
  <c r="D40" i="2" s="1"/>
  <c r="F25" i="2" l="1"/>
  <c r="H24" i="2"/>
  <c r="F24" i="2"/>
  <c r="B11" i="2"/>
</calcChain>
</file>

<file path=xl/sharedStrings.xml><?xml version="1.0" encoding="utf-8"?>
<sst xmlns="http://schemas.openxmlformats.org/spreadsheetml/2006/main" count="2511" uniqueCount="457">
  <si>
    <t>CLINICAL TRIAL DATA QUALITY &amp; SAFETY MONITORING</t>
  </si>
  <si>
    <t>Portfolio demonstration using entirely synthetic data. No real patient data is included.</t>
  </si>
  <si>
    <t>Purpose</t>
  </si>
  <si>
    <t>Demonstrate clinical data review: rule-based validation, issue logging through a query workflow, and descriptive safety summaries.</t>
  </si>
  <si>
    <t>Study setting</t>
  </si>
  <si>
    <t>Simulated two-arm trial (Placebo vs Treatment A), 5 sites, visits at Screening, Baseline, Week 4, Week 8 and Week 12. Data as-of date is on the Check Rules sheet.</t>
  </si>
  <si>
    <t>Sheet guide</t>
  </si>
  <si>
    <t>Subjects / Visits / Adverse Events = the data (last column of each is a live formula check). Data Checks = every flagged record. Query Log = queries raised to sites, with status and days open. Check Rules = editable limits and the rule list. Dashboard = summaries and charts.</t>
  </si>
  <si>
    <t>How the checks work</t>
  </si>
  <si>
    <t>Each data row has a Row_Check formula (nested IF, COUNTIF, INDEX/MATCH) that returns OK or the first problem found. Limits (age, weight, BP) are read from Check Rules, so changing a limit updates all checks. Fix a value in the data and its flag turns to OK.</t>
  </si>
  <si>
    <t>Suggested workflow</t>
  </si>
  <si>
    <t>1) Read Check Rules. 2) Filter Row_Check on each data sheet for anything not OK. 3) See each flag in Data Checks. 4) Read the matching query in Query Log. 5) Review the Dashboard.</t>
  </si>
  <si>
    <t>Data dictionary</t>
  </si>
  <si>
    <t>Subjects = participant-level; Visits = visit-level; Adverse Events = event-level; Treatment_Arm on Adverse Events is looked up from Subjects.</t>
  </si>
  <si>
    <t>Validation rules</t>
  </si>
  <si>
    <t>Unique subject IDs; age 18-85; weight 35-200 kg; systolic BP 70-220; diastolic BP 40-130; diastolic below systolic; visit and AE dates not before enrollment; required fields; subject linkage to the register. 15 rules in total.</t>
  </si>
  <si>
    <t>Planted issues</t>
  </si>
  <si>
    <t>Realistic errors were deliberately placed in the synthetic data (duplicate ID, out-of-range values, missing fields, unregistered subject, date errors) so the checks have something to find. 17 queries were raised; 3 are closed with the data corrected, so those flags now show OK.</t>
  </si>
  <si>
    <t>Clinical caution</t>
  </si>
  <si>
    <t>Out-of-range values are review flags, not proof of error. Confirm against source records and approved procedures.</t>
  </si>
  <si>
    <t>Safety caution</t>
  </si>
  <si>
    <t>Seriousness is not severity. This project does not assess causality, expectedness, or regulatory reportability.</t>
  </si>
  <si>
    <t>Important limitation</t>
  </si>
  <si>
    <t>Educational exercise, not a validated clinical system or substitute for protocol/SOP review.</t>
  </si>
  <si>
    <t>Portfolio credit</t>
  </si>
  <si>
    <t>Created as a learning project by Shaziya Thabassum Javid. All records are synthetic.</t>
  </si>
  <si>
    <t>CLINICAL TRIAL DATA QUALITY &amp; SAFETY DASHBOARD</t>
  </si>
  <si>
    <t>Synthetic educational dataset | All findings require source verification</t>
  </si>
  <si>
    <t>Data as of:</t>
  </si>
  <si>
    <t>Metric</t>
  </si>
  <si>
    <t>Value</t>
  </si>
  <si>
    <t>Interpretation</t>
  </si>
  <si>
    <t>Unique subjects</t>
  </si>
  <si>
    <t>Distinct participants (duplicate row not double-counted)</t>
  </si>
  <si>
    <t>Subject register rows</t>
  </si>
  <si>
    <t>Includes one intentional duplicate row</t>
  </si>
  <si>
    <t>Visit records</t>
  </si>
  <si>
    <t>Visit-level records, including scheduled and missed</t>
  </si>
  <si>
    <t>Visits completed (of due)</t>
  </si>
  <si>
    <t>Completed visits divided by visits that were due</t>
  </si>
  <si>
    <t>Adverse event records</t>
  </si>
  <si>
    <t>Reported event records</t>
  </si>
  <si>
    <t>Serious AEs (SAEs)</t>
  </si>
  <si>
    <t>Seriousness criteria met; not the same as severity</t>
  </si>
  <si>
    <t>Open review flags (live)</t>
  </si>
  <si>
    <t>Records failing a check right now; review items, not confirmed errors</t>
  </si>
  <si>
    <t>Queries not yet closed</t>
  </si>
  <si>
    <t>Queries raised to sites without a final resolution</t>
  </si>
  <si>
    <t>Average days open (not closed)</t>
  </si>
  <si>
    <t>Query aging as of the data date</t>
  </si>
  <si>
    <t>Adverse events by reported severity</t>
  </si>
  <si>
    <t>Severity</t>
  </si>
  <si>
    <t>Count</t>
  </si>
  <si>
    <t>% of AEs</t>
  </si>
  <si>
    <t>Mild</t>
  </si>
  <si>
    <t>Moderate</t>
  </si>
  <si>
    <t>Severe</t>
  </si>
  <si>
    <t>Missing</t>
  </si>
  <si>
    <t>Treatment arm summary</t>
  </si>
  <si>
    <t>Arm</t>
  </si>
  <si>
    <t>Subjects</t>
  </si>
  <si>
    <t>Withdrawn</t>
  </si>
  <si>
    <t>Withdrawn %</t>
  </si>
  <si>
    <t>AE records</t>
  </si>
  <si>
    <t>AEs per subject</t>
  </si>
  <si>
    <t>Serious AEs</t>
  </si>
  <si>
    <t>% AEs related / possibly related</t>
  </si>
  <si>
    <t>Placebo</t>
  </si>
  <si>
    <t>Treatment A</t>
  </si>
  <si>
    <t>Note: one subject has no arm recorded and one AE belongs to an unregistered subject; both are flagged, so arm totals are below overall totals.</t>
  </si>
  <si>
    <t>Site data-quality summary</t>
  </si>
  <si>
    <t>Site</t>
  </si>
  <si>
    <t>Flagged records</t>
  </si>
  <si>
    <t>Flag rate</t>
  </si>
  <si>
    <t>SITE-001</t>
  </si>
  <si>
    <t>SITE-002</t>
  </si>
  <si>
    <t>SITE-003</t>
  </si>
  <si>
    <t>SITE-004</t>
  </si>
  <si>
    <t>SITE-005</t>
  </si>
  <si>
    <t>Data flags by domain (live)</t>
  </si>
  <si>
    <t>Domain</t>
  </si>
  <si>
    <t>Total records</t>
  </si>
  <si>
    <t>Visits</t>
  </si>
  <si>
    <t>Adverse Events</t>
  </si>
  <si>
    <t>Query status</t>
  </si>
  <si>
    <t>Status</t>
  </si>
  <si>
    <t>Queries</t>
  </si>
  <si>
    <t>Open</t>
  </si>
  <si>
    <t>Sent to site</t>
  </si>
  <si>
    <t>Answered</t>
  </si>
  <si>
    <t>Closed</t>
  </si>
  <si>
    <t>Interpretation guardrail: flags indicate records for review; they do not establish error, medical significance, causality, or reportability.</t>
  </si>
  <si>
    <t>Subject_ID</t>
  </si>
  <si>
    <t>Site_ID</t>
  </si>
  <si>
    <t>Enrollment_Date</t>
  </si>
  <si>
    <t>Age</t>
  </si>
  <si>
    <t>Sex</t>
  </si>
  <si>
    <t>Treatment_Arm</t>
  </si>
  <si>
    <t>Study_Status</t>
  </si>
  <si>
    <t>Row_Check</t>
  </si>
  <si>
    <t>SUBJ-001</t>
  </si>
  <si>
    <t>Male</t>
  </si>
  <si>
    <t>Completed</t>
  </si>
  <si>
    <t>SUBJ-002</t>
  </si>
  <si>
    <t>Female</t>
  </si>
  <si>
    <t>SUBJ-003</t>
  </si>
  <si>
    <t>SUBJ-004</t>
  </si>
  <si>
    <t>Ongoing</t>
  </si>
  <si>
    <t>SUBJ-005</t>
  </si>
  <si>
    <t>SUBJ-006</t>
  </si>
  <si>
    <t>SUBJ-007</t>
  </si>
  <si>
    <t>SUBJ-008</t>
  </si>
  <si>
    <t>SUBJ-009</t>
  </si>
  <si>
    <t>SUBJ-010</t>
  </si>
  <si>
    <t>SUBJ-011</t>
  </si>
  <si>
    <t>SUBJ-012</t>
  </si>
  <si>
    <t>SUBJ-013</t>
  </si>
  <si>
    <t>SUBJ-014</t>
  </si>
  <si>
    <t>SUBJ-015</t>
  </si>
  <si>
    <t>SUBJ-016</t>
  </si>
  <si>
    <t>SUBJ-017</t>
  </si>
  <si>
    <t>SUBJ-018</t>
  </si>
  <si>
    <t>SUBJ-019</t>
  </si>
  <si>
    <t>SUBJ-020</t>
  </si>
  <si>
    <t>SUBJ-021</t>
  </si>
  <si>
    <t>SUBJ-022</t>
  </si>
  <si>
    <t>SUBJ-023</t>
  </si>
  <si>
    <t>SUBJ-024</t>
  </si>
  <si>
    <t>SUBJ-025</t>
  </si>
  <si>
    <t>SUBJ-026</t>
  </si>
  <si>
    <t>SUBJ-027</t>
  </si>
  <si>
    <t>SUBJ-028</t>
  </si>
  <si>
    <t>SUBJ-029</t>
  </si>
  <si>
    <t>SUBJ-030</t>
  </si>
  <si>
    <t>SUBJ-031</t>
  </si>
  <si>
    <t>SUBJ-032</t>
  </si>
  <si>
    <t>SUBJ-033</t>
  </si>
  <si>
    <t>SUBJ-034</t>
  </si>
  <si>
    <t>SUBJ-035</t>
  </si>
  <si>
    <t>SUBJ-036</t>
  </si>
  <si>
    <t>SUBJ-037</t>
  </si>
  <si>
    <t>SUBJ-038</t>
  </si>
  <si>
    <t>SUBJ-039</t>
  </si>
  <si>
    <t>SUBJ-040</t>
  </si>
  <si>
    <t>SUBJ-041</t>
  </si>
  <si>
    <t>SUBJ-042</t>
  </si>
  <si>
    <t>SUBJ-043</t>
  </si>
  <si>
    <t>SUBJ-044</t>
  </si>
  <si>
    <t>SUBJ-045</t>
  </si>
  <si>
    <t>SUBJ-046</t>
  </si>
  <si>
    <t>SUBJ-047</t>
  </si>
  <si>
    <t>SUBJ-048</t>
  </si>
  <si>
    <t>SUBJ-049</t>
  </si>
  <si>
    <t>SUBJ-050</t>
  </si>
  <si>
    <t>SUBJ-051</t>
  </si>
  <si>
    <t>SUBJ-052</t>
  </si>
  <si>
    <t>SUBJ-053</t>
  </si>
  <si>
    <t>SUBJ-054</t>
  </si>
  <si>
    <t>SUBJ-055</t>
  </si>
  <si>
    <t>SUBJ-056</t>
  </si>
  <si>
    <t>SUBJ-057</t>
  </si>
  <si>
    <t>SUBJ-058</t>
  </si>
  <si>
    <t>SUBJ-059</t>
  </si>
  <si>
    <t>SUBJ-060</t>
  </si>
  <si>
    <t>SUBJ-061</t>
  </si>
  <si>
    <t>SUBJ-062</t>
  </si>
  <si>
    <t>SUBJ-063</t>
  </si>
  <si>
    <t>SUBJ-064</t>
  </si>
  <si>
    <t>SUBJ-065</t>
  </si>
  <si>
    <t>SUBJ-066</t>
  </si>
  <si>
    <t>SUBJ-067</t>
  </si>
  <si>
    <t>SUBJ-068</t>
  </si>
  <si>
    <t>SUBJ-069</t>
  </si>
  <si>
    <t>SUBJ-070</t>
  </si>
  <si>
    <t>SUBJ-071</t>
  </si>
  <si>
    <t>SUBJ-072</t>
  </si>
  <si>
    <t>SUBJ-073</t>
  </si>
  <si>
    <t>SUBJ-074</t>
  </si>
  <si>
    <t>SUBJ-075</t>
  </si>
  <si>
    <t>SUBJ-076</t>
  </si>
  <si>
    <t>SUBJ-077</t>
  </si>
  <si>
    <t>SUBJ-078</t>
  </si>
  <si>
    <t>SUBJ-079</t>
  </si>
  <si>
    <t>SUBJ-080</t>
  </si>
  <si>
    <t>Visit_Name</t>
  </si>
  <si>
    <t>Visit_Date</t>
  </si>
  <si>
    <t>Weight_kg</t>
  </si>
  <si>
    <t>Systolic_BP</t>
  </si>
  <si>
    <t>Diastolic_BP</t>
  </si>
  <si>
    <t>Visit_Status</t>
  </si>
  <si>
    <t>Screening</t>
  </si>
  <si>
    <t>Complete</t>
  </si>
  <si>
    <t>Baseline</t>
  </si>
  <si>
    <t>Week 4</t>
  </si>
  <si>
    <t>Week 8</t>
  </si>
  <si>
    <t>Week 12</t>
  </si>
  <si>
    <t>Scheduled</t>
  </si>
  <si>
    <t>Missed</t>
  </si>
  <si>
    <t>SUBJ-099</t>
  </si>
  <si>
    <t>AE_ID</t>
  </si>
  <si>
    <t>AE_Term</t>
  </si>
  <si>
    <t>Onset_Date</t>
  </si>
  <si>
    <t>Seriousness</t>
  </si>
  <si>
    <t>Relationship</t>
  </si>
  <si>
    <t>Outcome</t>
  </si>
  <si>
    <t>AE-001</t>
  </si>
  <si>
    <t>Abdominal discomfort</t>
  </si>
  <si>
    <t>No</t>
  </si>
  <si>
    <t>Possibly related</t>
  </si>
  <si>
    <t>Recovering</t>
  </si>
  <si>
    <t>AE-002</t>
  </si>
  <si>
    <t>Headache</t>
  </si>
  <si>
    <t>Not related</t>
  </si>
  <si>
    <t>Not recovered</t>
  </si>
  <si>
    <t>AE-003</t>
  </si>
  <si>
    <t>Unknown</t>
  </si>
  <si>
    <t>AE-004</t>
  </si>
  <si>
    <t>Dizziness</t>
  </si>
  <si>
    <t>Recovered</t>
  </si>
  <si>
    <t>AE-005</t>
  </si>
  <si>
    <t>AE-006</t>
  </si>
  <si>
    <t>Fatigue</t>
  </si>
  <si>
    <t>AE-007</t>
  </si>
  <si>
    <t>Rash</t>
  </si>
  <si>
    <t>Yes</t>
  </si>
  <si>
    <t>AE-008</t>
  </si>
  <si>
    <t>AE-009</t>
  </si>
  <si>
    <t>AE-010</t>
  </si>
  <si>
    <t>Nausea</t>
  </si>
  <si>
    <t>AE-011</t>
  </si>
  <si>
    <t>AE-012</t>
  </si>
  <si>
    <t>AE-013</t>
  </si>
  <si>
    <t>AE-014</t>
  </si>
  <si>
    <t>Related</t>
  </si>
  <si>
    <t>AE-015</t>
  </si>
  <si>
    <t>AE-016</t>
  </si>
  <si>
    <t>AE-017</t>
  </si>
  <si>
    <t>AE-018</t>
  </si>
  <si>
    <t>AE-019</t>
  </si>
  <si>
    <t>AE-020</t>
  </si>
  <si>
    <t>AE-021</t>
  </si>
  <si>
    <t>AE-022</t>
  </si>
  <si>
    <t>AE-023</t>
  </si>
  <si>
    <t>AE-024</t>
  </si>
  <si>
    <t>AE-025</t>
  </si>
  <si>
    <t>AE-026</t>
  </si>
  <si>
    <t>AE-027</t>
  </si>
  <si>
    <t>AE-028</t>
  </si>
  <si>
    <t>AE-029</t>
  </si>
  <si>
    <t>AE-030</t>
  </si>
  <si>
    <t>AE-031</t>
  </si>
  <si>
    <t>AE-032</t>
  </si>
  <si>
    <t>AE-033</t>
  </si>
  <si>
    <t>AE-034</t>
  </si>
  <si>
    <t>AE-035</t>
  </si>
  <si>
    <t>AE-036</t>
  </si>
  <si>
    <t>AE-037</t>
  </si>
  <si>
    <t>AE-038</t>
  </si>
  <si>
    <t>AE-039</t>
  </si>
  <si>
    <t>AE-040</t>
  </si>
  <si>
    <t>AE-041</t>
  </si>
  <si>
    <t>AE-042</t>
  </si>
  <si>
    <t>AE-043</t>
  </si>
  <si>
    <t>AE-044</t>
  </si>
  <si>
    <t>AE-045</t>
  </si>
  <si>
    <t>AE-046</t>
  </si>
  <si>
    <t>AE-047</t>
  </si>
  <si>
    <t>AE-048</t>
  </si>
  <si>
    <t>AE-049</t>
  </si>
  <si>
    <t>AE-050</t>
  </si>
  <si>
    <t>AE-051</t>
  </si>
  <si>
    <t>AE-052</t>
  </si>
  <si>
    <t>AE-053</t>
  </si>
  <si>
    <t>AE-054</t>
  </si>
  <si>
    <t>AE-055</t>
  </si>
  <si>
    <t>AE-056</t>
  </si>
  <si>
    <t>AE-057</t>
  </si>
  <si>
    <t>AE-058</t>
  </si>
  <si>
    <t>AE-059</t>
  </si>
  <si>
    <t>AE-060</t>
  </si>
  <si>
    <t>Check_ID</t>
  </si>
  <si>
    <t>Data_Domain</t>
  </si>
  <si>
    <t>Record_Key</t>
  </si>
  <si>
    <t>Check_Type</t>
  </si>
  <si>
    <t>Flag_Description</t>
  </si>
  <si>
    <t>Review_Priority</t>
  </si>
  <si>
    <t>Review_Status</t>
  </si>
  <si>
    <t>Source_Row</t>
  </si>
  <si>
    <t>Live_Check_Result</t>
  </si>
  <si>
    <t>Query_ID</t>
  </si>
  <si>
    <t>SUB-001</t>
  </si>
  <si>
    <t>Duplicate subject ID</t>
  </si>
  <si>
    <t>Subject ID appears twice in the register</t>
  </si>
  <si>
    <t>High</t>
  </si>
  <si>
    <t>QRY-001</t>
  </si>
  <si>
    <t>SUB-002</t>
  </si>
  <si>
    <t>SUB-003</t>
  </si>
  <si>
    <t>Age out of range</t>
  </si>
  <si>
    <t>Age recorded as 17 (limit 18-85)</t>
  </si>
  <si>
    <t>Resolved</t>
  </si>
  <si>
    <t>QRY-002</t>
  </si>
  <si>
    <t>SUB-004</t>
  </si>
  <si>
    <t>Age recorded as 91 (limit 18-85)</t>
  </si>
  <si>
    <t>QRY-003</t>
  </si>
  <si>
    <t>SUB-005</t>
  </si>
  <si>
    <t>Missing field</t>
  </si>
  <si>
    <t>Sex not recorded</t>
  </si>
  <si>
    <t>Medium</t>
  </si>
  <si>
    <t>Query sent</t>
  </si>
  <si>
    <t>QRY-004</t>
  </si>
  <si>
    <t>SUB-006</t>
  </si>
  <si>
    <t>Treatment arm not recorded</t>
  </si>
  <si>
    <t>QRY-005</t>
  </si>
  <si>
    <t>VIS-001</t>
  </si>
  <si>
    <t>SUBJ-005|Week 4</t>
  </si>
  <si>
    <t>Weight out of range</t>
  </si>
  <si>
    <t>Weight recorded as 718.0 kg (limit 35-200)</t>
  </si>
  <si>
    <t>QRY-006</t>
  </si>
  <si>
    <t>VIS-002</t>
  </si>
  <si>
    <t>SUBJ-010|Baseline</t>
  </si>
  <si>
    <t>Missing weight</t>
  </si>
  <si>
    <t>Weight missing at a completed visit</t>
  </si>
  <si>
    <t>Answered - pending update</t>
  </si>
  <si>
    <t>QRY-007</t>
  </si>
  <si>
    <t>VIS-003</t>
  </si>
  <si>
    <t>SUBJ-015|Screening</t>
  </si>
  <si>
    <t>Systolic BP out of range</t>
  </si>
  <si>
    <t>Systolic BP recorded as 300 mmHg (limit 70-220)</t>
  </si>
  <si>
    <t>QRY-008</t>
  </si>
  <si>
    <t>VIS-004</t>
  </si>
  <si>
    <t>SUBJ-027|Week 4</t>
  </si>
  <si>
    <t>Diastolic &gt;= systolic</t>
  </si>
  <si>
    <t>Diastolic BP is not lower than systolic BP</t>
  </si>
  <si>
    <t>QRY-009</t>
  </si>
  <si>
    <t>VIS-005</t>
  </si>
  <si>
    <t>SUBJ-031|Baseline</t>
  </si>
  <si>
    <t>Visit before enrollment</t>
  </si>
  <si>
    <t>Visit date is before the enrollment date</t>
  </si>
  <si>
    <t>QRY-010</t>
  </si>
  <si>
    <t>VIS-006</t>
  </si>
  <si>
    <t>SUBJ-099|Screening</t>
  </si>
  <si>
    <t>Subject not in register</t>
  </si>
  <si>
    <t>Visit recorded for a subject not in the register</t>
  </si>
  <si>
    <t>QRY-011</t>
  </si>
  <si>
    <t>VIS-007</t>
  </si>
  <si>
    <t>SUBJ-051|Week 4</t>
  </si>
  <si>
    <t>Missed visit</t>
  </si>
  <si>
    <t>Visit marked as missed</t>
  </si>
  <si>
    <t>Low</t>
  </si>
  <si>
    <t>QRY-012</t>
  </si>
  <si>
    <t>AE recorded for a subject not in the register</t>
  </si>
  <si>
    <t>QRY-013</t>
  </si>
  <si>
    <t>Severity missing</t>
  </si>
  <si>
    <t>Severity not recorded</t>
  </si>
  <si>
    <t>QRY-014</t>
  </si>
  <si>
    <t>QRY-015</t>
  </si>
  <si>
    <t>Seriousness missing</t>
  </si>
  <si>
    <t>Seriousness not recorded</t>
  </si>
  <si>
    <t>QRY-016</t>
  </si>
  <si>
    <t>Onset before enrollment</t>
  </si>
  <si>
    <t>AE onset is before the enrollment date</t>
  </si>
  <si>
    <t>QRY-017</t>
  </si>
  <si>
    <t>Issue</t>
  </si>
  <si>
    <t>Why_Review_Is_Needed</t>
  </si>
  <si>
    <t>Suggested_Query_or_Action</t>
  </si>
  <si>
    <t>Priority</t>
  </si>
  <si>
    <t>Resolution_Notes</t>
  </si>
  <si>
    <t>Date_Opened</t>
  </si>
  <si>
    <t>Date_Closed</t>
  </si>
  <si>
    <t>Days_Open</t>
  </si>
  <si>
    <t>Same Subject_ID on two register rows can double-count a participant.</t>
  </si>
  <si>
    <t>Compare both rows with source; confirm duplicate entry and remove it, or correct the ID if they are two participants.</t>
  </si>
  <si>
    <t>Age below the protocol minimum may mean a typing error or an eligibility problem.</t>
  </si>
  <si>
    <t>Confirm date of birth against source and correct the age.</t>
  </si>
  <si>
    <t>Site confirmed date of birth; 17 was a typing error. Age corrected to 22.</t>
  </si>
  <si>
    <t>Age above the protocol maximum may be a typing error (e.g. 19 or 61).</t>
  </si>
  <si>
    <t>Sex is a required demographic field.</t>
  </si>
  <si>
    <t>Ask site to provide sex from source records.</t>
  </si>
  <si>
    <t>Without an arm the participant cannot be included in treatment comparisons.</t>
  </si>
  <si>
    <t>Confirm randomization record and enter the arm.</t>
  </si>
  <si>
    <t>Weight outside plausible limits suggests a decimal or typing error.</t>
  </si>
  <si>
    <t>Confirm weight against source document.</t>
  </si>
  <si>
    <t>Decimal point error. Site confirmed 71.8 kg; value corrected.</t>
  </si>
  <si>
    <t>Weight is a required measurement at completed visits.</t>
  </si>
  <si>
    <t>Ask site to provide weight from source.</t>
  </si>
  <si>
    <t>Site replied weight was 64.7 kg; awaiting data entry update.</t>
  </si>
  <si>
    <t>Value is outside plausible range; likely typing error.</t>
  </si>
  <si>
    <t>Confirm blood pressure against source and correct.</t>
  </si>
  <si>
    <t>Diastolic should be lower than systolic; values may be swapped.</t>
  </si>
  <si>
    <t>Confirm both readings against source.</t>
  </si>
  <si>
    <t>Visit dates must follow enrollment; may be a date typo.</t>
  </si>
  <si>
    <t>Confirm visit date against source.</t>
  </si>
  <si>
    <t>Visit data exists for an ID that is not in the subject register.</t>
  </si>
  <si>
    <t>Confirm whether the ID is a typo or an unregistered participant.</t>
  </si>
  <si>
    <t>Missed visits may be protocol deviations.</t>
  </si>
  <si>
    <t>Ask site for the reason and whether a make-up visit is planned.</t>
  </si>
  <si>
    <t>Safety data must link to a registered participant.</t>
  </si>
  <si>
    <t>Confirm correct Subject_ID with the site.</t>
  </si>
  <si>
    <t>Severity is required to describe the event.</t>
  </si>
  <si>
    <t>Ask site to provide severity.</t>
  </si>
  <si>
    <t>Site confirmed severity was Severe; field completed.</t>
  </si>
  <si>
    <t>Seriousness drives safety reporting; seriousness is not the same as severity.</t>
  </si>
  <si>
    <t>Ask site to confirm seriousness criteria.</t>
  </si>
  <si>
    <t>An event before enrollment may be medical history, not an AE.</t>
  </si>
  <si>
    <t>Confirm onset date and whether it is pre-existing.</t>
  </si>
  <si>
    <t>CHECK RULES AND LIMITS</t>
  </si>
  <si>
    <t>Blue cells are inputs. Changing a limit updates every check.</t>
  </si>
  <si>
    <t>Age minimum (years)</t>
  </si>
  <si>
    <t>Age maximum (years)</t>
  </si>
  <si>
    <t>Weight minimum (kg)</t>
  </si>
  <si>
    <t>Weight maximum (kg)</t>
  </si>
  <si>
    <t>Systolic BP minimum (mmHg)</t>
  </si>
  <si>
    <t>Systolic BP maximum (mmHg)</t>
  </si>
  <si>
    <t>Diastolic BP minimum (mmHg)</t>
  </si>
  <si>
    <t>Diastolic BP maximum (mmHg)</t>
  </si>
  <si>
    <t>Data as-of date</t>
  </si>
  <si>
    <t>Rule_ID</t>
  </si>
  <si>
    <t>Rule</t>
  </si>
  <si>
    <t>Why it matters</t>
  </si>
  <si>
    <t>R01</t>
  </si>
  <si>
    <t>Double-counting a participant distorts every summary.</t>
  </si>
  <si>
    <t>R02</t>
  </si>
  <si>
    <t>Required field missing</t>
  </si>
  <si>
    <t>Incomplete records cannot be analysed or reconciled.</t>
  </si>
  <si>
    <t>R03</t>
  </si>
  <si>
    <t>Age outside limits</t>
  </si>
  <si>
    <t>Eligibility and typing-error check.</t>
  </si>
  <si>
    <t>R04</t>
  </si>
  <si>
    <t>Data must link to a registered participant.</t>
  </si>
  <si>
    <t>R05</t>
  </si>
  <si>
    <t>Chronology check; likely date error.</t>
  </si>
  <si>
    <t>R06</t>
  </si>
  <si>
    <t>Missing weight at completed visit</t>
  </si>
  <si>
    <t>Required measurement.</t>
  </si>
  <si>
    <t>R07</t>
  </si>
  <si>
    <t>Weight outside limits</t>
  </si>
  <si>
    <t>Catches decimal and unit errors.</t>
  </si>
  <si>
    <t>R08</t>
  </si>
  <si>
    <t>Systolic BP outside limits</t>
  </si>
  <si>
    <t>Catches typing errors.</t>
  </si>
  <si>
    <t>R09</t>
  </si>
  <si>
    <t>Diastolic BP outside limits</t>
  </si>
  <si>
    <t>R10</t>
  </si>
  <si>
    <t>Diastolic not below systolic</t>
  </si>
  <si>
    <t>Values may be swapped.</t>
  </si>
  <si>
    <t>R11</t>
  </si>
  <si>
    <t>May be a protocol deviation.</t>
  </si>
  <si>
    <t>R12</t>
  </si>
  <si>
    <t>Safety data must link to a participant.</t>
  </si>
  <si>
    <t>R13</t>
  </si>
  <si>
    <t>May be medical history, not an AE.</t>
  </si>
  <si>
    <t>R14</t>
  </si>
  <si>
    <t>Required to describe the event.</t>
  </si>
  <si>
    <t>R15</t>
  </si>
  <si>
    <t>Seriousness missing or invalid</t>
  </si>
  <si>
    <t>Drives safety reporting.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</si>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</sst>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b/>
      <sz val="11"/>
      <color rgb="FFFFFFFF"/>
      <name val="Calibri"/>
      <charset val="1"/>
    </font>
    <font>
      <b/>
      <sz val="12"/>
      <color rgb="FF1F4E78"/>
      <name val="Calibri"/>
      <charset val="1"/>
    </font>
    <font>
      <i/>
      <sz val="10"/>
      <name val="Calibri"/>
      <charset val="1"/>
    </font>
    <font>
      <sz val="11"/>
      <color rgb="FF0000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  <xf numFmtId="164" fontId="0" fillId="0" borderId="0" xfId="0" applyNumberFormat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0" xfId="0" applyFont="1"/>
    <xf numFmtId="165" fontId="3" fillId="0" borderId="1" xfId="0" applyNumberFormat="1" applyFont="1" applyBorder="1"/>
    <xf numFmtId="166" fontId="3" fillId="0" borderId="1" xfId="0" applyNumberFormat="1" applyFont="1" applyBorder="1"/>
    <xf numFmtId="0" fontId="6" fillId="0" borderId="0" xfId="0" applyFont="1"/>
    <xf numFmtId="1" fontId="3" fillId="0" borderId="1" xfId="0" applyNumberFormat="1" applyFont="1" applyBorder="1"/>
    <xf numFmtId="2" fontId="3" fillId="0" borderId="1" xfId="0" applyNumberFormat="1" applyFont="1" applyBorder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8" fillId="0" borderId="1" xfId="0" applyFont="1" applyBorder="1"/>
    <xf numFmtId="164" fontId="8" fillId="0" borderId="1" xfId="0" applyNumberFormat="1" applyFont="1" applyBorder="1"/>
    <xf numFmtId="0" fontId="5" fillId="2" borderId="0" xfId="0" applyFont="1" applyFill="1"/>
    <xf numFmtId="0" fontId="3" fillId="0" borderId="3" xfId="0" applyFont="1" applyBorder="1"/>
    <xf numFmtId="0" fontId="3" fillId="0" borderId="4" xfId="0" applyFont="1" applyBorder="1"/>
    <xf numFmtId="0" fontId="3" fillId="0" borderId="2" xfId="0" applyFont="1" applyBorder="1"/>
  </cellXfs>
  <cellStyles count="1">
    <cellStyle name="Normal" xfId="0" builtinId="0"/>
  </cellStyles>
  <dxfs count="11"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Adverse events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Dashboard!$A$17:$A$19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Dashboard!$B$17:$B$19</c:f>
              <c:numCache>
                <c:formatCode>General</c:formatCode>
                <c:ptCount val="3"/>
                <c:pt idx="0">
                  <c:v>37</c:v>
                </c:pt>
                <c:pt idx="1">
                  <c:v>11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2-49A1-9622-8A41394A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4029030"/>
        <c:axId val="57418977"/>
      </c:barChart>
      <c:catAx>
        <c:axId val="540290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8977"/>
        <c:crosses val="autoZero"/>
        <c:auto val="1"/>
        <c:lblAlgn val="ctr"/>
        <c:lblOffset val="100"/>
        <c:noMultiLvlLbl val="0"/>
      </c:catAx>
      <c:valAx>
        <c:axId val="5741897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90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AEs per subject by arm</a:t>
            </a:r>
          </a:p>
        </c:rich>
      </c:tx>
      <c:layout>
        <c:manualLayout>
          <c:xMode val="edge"/>
          <c:yMode val="edge"/>
          <c:x val="0.19183473038909046"/>
          <c:y val="2.91866798428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1"/>
              <c:layout>
                <c:manualLayout>
                  <c:x val="-1.0592601859960799E-2"/>
                  <c:y val="1.45933399214028E-2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B3-4BB6-802E-942A8D2A7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Dashboard!$A$24:$A$25</c:f>
              <c:strCache>
                <c:ptCount val="2"/>
                <c:pt idx="0">
                  <c:v>Placebo</c:v>
                </c:pt>
                <c:pt idx="1">
                  <c:v>Treatment A</c:v>
                </c:pt>
              </c:strCache>
            </c:strRef>
          </c:cat>
          <c:val>
            <c:numRef>
              <c:f>Dashboard!$F$24:$F$25</c:f>
              <c:numCache>
                <c:formatCode>0.00</c:formatCode>
                <c:ptCount val="2"/>
                <c:pt idx="0">
                  <c:v>0.6216216216216216</c:v>
                </c:pt>
                <c:pt idx="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BB6-802E-942A8D2A7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3757173"/>
        <c:axId val="34469636"/>
      </c:barChart>
      <c:catAx>
        <c:axId val="63757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9636"/>
        <c:crosses val="autoZero"/>
        <c:auto val="1"/>
        <c:lblAlgn val="ctr"/>
        <c:lblOffset val="100"/>
        <c:noMultiLvlLbl val="0"/>
      </c:catAx>
      <c:valAx>
        <c:axId val="344696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AEs per 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71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Flagged records by domain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Dashboard!$A$38:$A$40</c:f>
              <c:strCache>
                <c:ptCount val="3"/>
                <c:pt idx="0">
                  <c:v>Subjects</c:v>
                </c:pt>
                <c:pt idx="1">
                  <c:v>Visits</c:v>
                </c:pt>
                <c:pt idx="2">
                  <c:v>Adverse Events</c:v>
                </c:pt>
              </c:strCache>
            </c:strRef>
          </c:cat>
          <c:val>
            <c:numRef>
              <c:f>Dashboard!$B$38:$B$40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7-4179-A7A6-E5C9C9428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6562722"/>
        <c:axId val="76014870"/>
      </c:barChart>
      <c:catAx>
        <c:axId val="26562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14870"/>
        <c:crosses val="autoZero"/>
        <c:auto val="1"/>
        <c:lblAlgn val="ctr"/>
        <c:lblOffset val="100"/>
        <c:noMultiLvlLbl val="0"/>
      </c:catAx>
      <c:valAx>
        <c:axId val="7601487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Flagged 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27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131040</xdr:rowOff>
    </xdr:from>
    <xdr:to>
      <xdr:col>17</xdr:col>
      <xdr:colOff>147600</xdr:colOff>
      <xdr:row>16</xdr:row>
      <xdr:rowOff>55800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130680</xdr:rowOff>
    </xdr:from>
    <xdr:to>
      <xdr:col>17</xdr:col>
      <xdr:colOff>147600</xdr:colOff>
      <xdr:row>30</xdr:row>
      <xdr:rowOff>36360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32</xdr:row>
      <xdr:rowOff>131040</xdr:rowOff>
    </xdr:from>
    <xdr:to>
      <xdr:col>17</xdr:col>
      <xdr:colOff>147600</xdr:colOff>
      <xdr:row>46</xdr:row>
      <xdr:rowOff>55440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B5D665-743C-43BD-9ABB-D1939C9E5822}" name="Table4" displayName="Table4" ref="A1:B14" totalsRowShown="0">
  <autoFilter ref="A1:B14" xr:uid="{AEB5D665-743C-43BD-9ABB-D1939C9E5822}"/>
  <tableColumns count="2">
    <tableColumn id="1" xr3:uid="{D881612F-8FAB-4F54-A8D1-AEF8CA24B6AF}" name="CLINICAL TRIAL DATA QUALITY &amp; SAFETY MONITORING" dataDxfId="10"/>
    <tableColumn id="2" xr3:uid="{51F3A9AC-51BC-4AF2-946B-235960D59329}" name="Description" dataDxfId="9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showGridLines="0" tabSelected="1" zoomScaleNormal="100" workbookViewId="0">
      <selection activeCell="B20" sqref="B20"/>
    </sheetView>
  </sheetViews>
  <sheetFormatPr defaultColWidth="8.7109375" defaultRowHeight="15" x14ac:dyDescent="0.25"/>
  <cols>
    <col min="1" max="1" width="72.42578125" customWidth="1"/>
    <col min="2" max="2" width="120" customWidth="1"/>
  </cols>
  <sheetData>
    <row r="1" spans="1:2" ht="21" x14ac:dyDescent="0.35">
      <c r="A1" s="3" t="s">
        <v>0</v>
      </c>
      <c r="B1" t="s">
        <v>456</v>
      </c>
    </row>
    <row r="2" spans="1:2" x14ac:dyDescent="0.25">
      <c r="A2" s="4"/>
      <c r="B2" s="5" t="s">
        <v>1</v>
      </c>
    </row>
    <row r="3" spans="1:2" ht="30" x14ac:dyDescent="0.25">
      <c r="A3" s="4" t="s">
        <v>2</v>
      </c>
      <c r="B3" s="5" t="s">
        <v>3</v>
      </c>
    </row>
    <row r="4" spans="1:2" ht="30" x14ac:dyDescent="0.25">
      <c r="A4" s="4" t="s">
        <v>4</v>
      </c>
      <c r="B4" s="5" t="s">
        <v>5</v>
      </c>
    </row>
    <row r="5" spans="1:2" ht="45" x14ac:dyDescent="0.25">
      <c r="A5" s="4" t="s">
        <v>6</v>
      </c>
      <c r="B5" s="5" t="s">
        <v>7</v>
      </c>
    </row>
    <row r="6" spans="1:2" ht="30" x14ac:dyDescent="0.25">
      <c r="A6" s="4" t="s">
        <v>8</v>
      </c>
      <c r="B6" s="5" t="s">
        <v>9</v>
      </c>
    </row>
    <row r="7" spans="1:2" ht="30" x14ac:dyDescent="0.25">
      <c r="A7" s="4" t="s">
        <v>10</v>
      </c>
      <c r="B7" s="5" t="s">
        <v>11</v>
      </c>
    </row>
    <row r="8" spans="1:2" ht="30" x14ac:dyDescent="0.25">
      <c r="A8" s="4" t="s">
        <v>12</v>
      </c>
      <c r="B8" s="5" t="s">
        <v>13</v>
      </c>
    </row>
    <row r="9" spans="1:2" ht="30" x14ac:dyDescent="0.25">
      <c r="A9" s="4" t="s">
        <v>14</v>
      </c>
      <c r="B9" s="5" t="s">
        <v>15</v>
      </c>
    </row>
    <row r="10" spans="1:2" ht="45" x14ac:dyDescent="0.25">
      <c r="A10" s="4" t="s">
        <v>16</v>
      </c>
      <c r="B10" s="5" t="s">
        <v>17</v>
      </c>
    </row>
    <row r="11" spans="1:2" x14ac:dyDescent="0.25">
      <c r="A11" s="4" t="s">
        <v>18</v>
      </c>
      <c r="B11" s="5" t="s">
        <v>19</v>
      </c>
    </row>
    <row r="12" spans="1:2" x14ac:dyDescent="0.25">
      <c r="A12" s="4" t="s">
        <v>20</v>
      </c>
      <c r="B12" s="5" t="s">
        <v>21</v>
      </c>
    </row>
    <row r="13" spans="1:2" x14ac:dyDescent="0.25">
      <c r="A13" s="4" t="s">
        <v>22</v>
      </c>
      <c r="B13" s="5" t="s">
        <v>23</v>
      </c>
    </row>
    <row r="14" spans="1:2" x14ac:dyDescent="0.25">
      <c r="A14" s="4" t="s">
        <v>24</v>
      </c>
      <c r="B14" s="5" t="s">
        <v>25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9"/>
  <sheetViews>
    <sheetView showGridLines="0" topLeftCell="A26" zoomScaleNormal="100" workbookViewId="0">
      <selection activeCell="T4" sqref="T4"/>
    </sheetView>
  </sheetViews>
  <sheetFormatPr defaultColWidth="8.7109375" defaultRowHeight="15" x14ac:dyDescent="0.25"/>
  <cols>
    <col min="1" max="1" width="32" customWidth="1"/>
    <col min="2" max="7" width="15" customWidth="1"/>
    <col min="8" max="8" width="22" customWidth="1"/>
  </cols>
  <sheetData>
    <row r="1" spans="1:8" ht="21" x14ac:dyDescent="0.35">
      <c r="A1" s="3" t="s">
        <v>26</v>
      </c>
    </row>
    <row r="2" spans="1:8" x14ac:dyDescent="0.25">
      <c r="A2" s="6" t="s">
        <v>27</v>
      </c>
    </row>
    <row r="3" spans="1:8" x14ac:dyDescent="0.25">
      <c r="A3" s="7" t="s">
        <v>28</v>
      </c>
      <c r="B3" s="8">
        <f>'Check Rules'!B11</f>
        <v>46142</v>
      </c>
    </row>
    <row r="4" spans="1:8" ht="15" customHeight="1" x14ac:dyDescent="0.25">
      <c r="A4" s="9" t="s">
        <v>29</v>
      </c>
      <c r="B4" s="9" t="s">
        <v>30</v>
      </c>
      <c r="C4" s="2" t="s">
        <v>31</v>
      </c>
      <c r="D4" s="2"/>
      <c r="E4" s="2"/>
      <c r="F4" s="2"/>
      <c r="G4" s="2"/>
      <c r="H4" s="2"/>
    </row>
    <row r="5" spans="1:8" x14ac:dyDescent="0.25">
      <c r="A5" s="10" t="s">
        <v>32</v>
      </c>
      <c r="B5" s="10">
        <f>SUMPRODUCT(1/COUNTIF(Subjects!$A$2:$A$82,Subjects!$A$2:$A$82))</f>
        <v>80</v>
      </c>
      <c r="C5" s="25" t="s">
        <v>33</v>
      </c>
      <c r="D5" s="26"/>
      <c r="E5" s="26"/>
      <c r="F5" s="26"/>
      <c r="G5" s="26"/>
      <c r="H5" s="26"/>
    </row>
    <row r="6" spans="1:8" x14ac:dyDescent="0.25">
      <c r="A6" s="10" t="s">
        <v>34</v>
      </c>
      <c r="B6" s="10">
        <f>COUNTA(Subjects!$A$2:$A$82)</f>
        <v>81</v>
      </c>
      <c r="C6" s="24" t="s">
        <v>35</v>
      </c>
      <c r="D6" s="1"/>
      <c r="E6" s="1"/>
      <c r="F6" s="1"/>
      <c r="G6" s="1"/>
      <c r="H6" s="1"/>
    </row>
    <row r="7" spans="1:8" x14ac:dyDescent="0.25">
      <c r="A7" s="10" t="s">
        <v>36</v>
      </c>
      <c r="B7" s="10">
        <f>COUNTA(Visits!$A$2:$A$293)</f>
        <v>292</v>
      </c>
      <c r="C7" s="24" t="s">
        <v>37</v>
      </c>
      <c r="D7" s="1"/>
      <c r="E7" s="1"/>
      <c r="F7" s="1"/>
      <c r="G7" s="1"/>
      <c r="H7" s="1"/>
    </row>
    <row r="8" spans="1:8" x14ac:dyDescent="0.25">
      <c r="A8" s="10" t="s">
        <v>38</v>
      </c>
      <c r="B8" s="12">
        <f>COUNTIF(Visits!$H$2:$H$293,"Complete")/(COUNTIF(Visits!$H$2:$H$293,"Complete")+COUNTIF(Visits!$H$2:$H$293,"Missed"))</f>
        <v>0.99649122807017543</v>
      </c>
      <c r="C8" s="24" t="s">
        <v>39</v>
      </c>
      <c r="D8" s="1"/>
      <c r="E8" s="1"/>
      <c r="F8" s="1"/>
      <c r="G8" s="1"/>
      <c r="H8" s="1"/>
    </row>
    <row r="9" spans="1:8" x14ac:dyDescent="0.25">
      <c r="A9" s="10" t="s">
        <v>40</v>
      </c>
      <c r="B9" s="10">
        <f>COUNTA('Adverse Events'!$A$2:$A$61)</f>
        <v>60</v>
      </c>
      <c r="C9" s="24" t="s">
        <v>41</v>
      </c>
      <c r="D9" s="1"/>
      <c r="E9" s="1"/>
      <c r="F9" s="1"/>
      <c r="G9" s="1"/>
      <c r="H9" s="1"/>
    </row>
    <row r="10" spans="1:8" x14ac:dyDescent="0.25">
      <c r="A10" s="10" t="s">
        <v>42</v>
      </c>
      <c r="B10" s="10">
        <f>COUNTIF('Adverse Events'!$F$2:$F$61,"Yes")</f>
        <v>8</v>
      </c>
      <c r="C10" s="24" t="s">
        <v>43</v>
      </c>
      <c r="D10" s="1"/>
      <c r="E10" s="1"/>
      <c r="F10" s="1"/>
      <c r="G10" s="1"/>
      <c r="H10" s="1"/>
    </row>
    <row r="11" spans="1:8" x14ac:dyDescent="0.25">
      <c r="A11" s="10" t="s">
        <v>44</v>
      </c>
      <c r="B11" s="10">
        <f>COUNTIF(Subjects!$H$2:$H$82,"&lt;&gt;OK")+COUNTIF(Visits!$I$2:$I$293,"&lt;&gt;OK")+COUNTIF('Adverse Events'!$J$2:$J$61,"&lt;&gt;OK")</f>
        <v>16</v>
      </c>
      <c r="C11" s="24" t="s">
        <v>45</v>
      </c>
      <c r="D11" s="1"/>
      <c r="E11" s="1"/>
      <c r="F11" s="1"/>
      <c r="G11" s="1"/>
      <c r="H11" s="1"/>
    </row>
    <row r="12" spans="1:8" x14ac:dyDescent="0.25">
      <c r="A12" s="10" t="s">
        <v>46</v>
      </c>
      <c r="B12" s="10">
        <f>COUNTIF('Query Log'!$H$2:$H$18,"&lt;&gt;Closed")</f>
        <v>14</v>
      </c>
      <c r="C12" s="24" t="s">
        <v>47</v>
      </c>
      <c r="D12" s="1"/>
      <c r="E12" s="1"/>
      <c r="F12" s="1"/>
      <c r="G12" s="1"/>
      <c r="H12" s="1"/>
    </row>
    <row r="13" spans="1:8" x14ac:dyDescent="0.25">
      <c r="A13" s="10" t="s">
        <v>48</v>
      </c>
      <c r="B13" s="13">
        <f>AVERAGEIFS('Query Log'!$L$2:$L$18,'Query Log'!$H$2:$H$18,"&lt;&gt;Closed")</f>
        <v>32.428571428571431</v>
      </c>
      <c r="C13" s="24" t="s">
        <v>49</v>
      </c>
      <c r="D13" s="1"/>
      <c r="E13" s="1"/>
      <c r="F13" s="1"/>
      <c r="G13" s="1"/>
      <c r="H13" s="1"/>
    </row>
    <row r="15" spans="1:8" ht="15.75" x14ac:dyDescent="0.25">
      <c r="A15" s="14" t="s">
        <v>50</v>
      </c>
    </row>
    <row r="16" spans="1:8" x14ac:dyDescent="0.25">
      <c r="A16" s="9" t="s">
        <v>51</v>
      </c>
      <c r="B16" s="9" t="s">
        <v>52</v>
      </c>
      <c r="C16" s="9" t="s">
        <v>53</v>
      </c>
    </row>
    <row r="17" spans="1:8" x14ac:dyDescent="0.25">
      <c r="A17" s="10" t="s">
        <v>54</v>
      </c>
      <c r="B17" s="10">
        <f>COUNTIF('Adverse Events'!$E$2:$E$61,A17)</f>
        <v>37</v>
      </c>
      <c r="C17" s="12">
        <f>B17/$B$9</f>
        <v>0.6166666666666667</v>
      </c>
    </row>
    <row r="18" spans="1:8" x14ac:dyDescent="0.25">
      <c r="A18" s="10" t="s">
        <v>55</v>
      </c>
      <c r="B18" s="10">
        <f>COUNTIF('Adverse Events'!$E$2:$E$61,A18)</f>
        <v>11</v>
      </c>
      <c r="C18" s="12">
        <f>B18/$B$9</f>
        <v>0.18333333333333332</v>
      </c>
    </row>
    <row r="19" spans="1:8" x14ac:dyDescent="0.25">
      <c r="A19" s="10" t="s">
        <v>56</v>
      </c>
      <c r="B19" s="10">
        <f>COUNTIF('Adverse Events'!$E$2:$E$61,A19)</f>
        <v>11</v>
      </c>
      <c r="C19" s="12">
        <f>B19/$B$9</f>
        <v>0.18333333333333332</v>
      </c>
    </row>
    <row r="20" spans="1:8" x14ac:dyDescent="0.25">
      <c r="A20" s="10" t="s">
        <v>57</v>
      </c>
      <c r="B20" s="10">
        <f>COUNTBLANK('Adverse Events'!$E$2:$E$61)</f>
        <v>1</v>
      </c>
      <c r="C20" s="12">
        <f>B20/$B$9</f>
        <v>1.6666666666666666E-2</v>
      </c>
    </row>
    <row r="22" spans="1:8" ht="15.75" x14ac:dyDescent="0.25">
      <c r="A22" s="14" t="s">
        <v>58</v>
      </c>
    </row>
    <row r="23" spans="1:8" ht="31.5" customHeight="1" x14ac:dyDescent="0.25">
      <c r="A23" s="9" t="s">
        <v>59</v>
      </c>
      <c r="B23" s="9" t="s">
        <v>60</v>
      </c>
      <c r="C23" s="9" t="s">
        <v>61</v>
      </c>
      <c r="D23" s="9" t="s">
        <v>62</v>
      </c>
      <c r="E23" s="9" t="s">
        <v>63</v>
      </c>
      <c r="F23" s="9" t="s">
        <v>64</v>
      </c>
      <c r="G23" s="9" t="s">
        <v>65</v>
      </c>
      <c r="H23" s="9" t="s">
        <v>66</v>
      </c>
    </row>
    <row r="24" spans="1:8" x14ac:dyDescent="0.25">
      <c r="A24" s="10" t="s">
        <v>67</v>
      </c>
      <c r="B24" s="15">
        <f>SUMPRODUCT((Subjects!$F$2:$F$82=A24)/COUNTIF(Subjects!$A$2:$A$82,Subjects!$A$2:$A$82))</f>
        <v>37</v>
      </c>
      <c r="C24" s="15">
        <f>SUMPRODUCT((Subjects!$F$2:$F$82=A24)*(Subjects!$G$2:$G$82="Withdrawn")/COUNTIF(Subjects!$A$2:$A$82,Subjects!$A$2:$A$82))</f>
        <v>16</v>
      </c>
      <c r="D24" s="12">
        <f>IFERROR(C24/B24,0)</f>
        <v>0.43243243243243246</v>
      </c>
      <c r="E24" s="10">
        <f>COUNTIF('Adverse Events'!$I$2:$I$61,A24)</f>
        <v>23</v>
      </c>
      <c r="F24" s="16">
        <f>IFERROR(E24/B24,0)</f>
        <v>0.6216216216216216</v>
      </c>
      <c r="G24" s="10">
        <f>COUNTIFS('Adverse Events'!$I$2:$I$61,A24,'Adverse Events'!$F$2:$F$61,"Yes")</f>
        <v>3</v>
      </c>
      <c r="H24" s="12">
        <f>IFERROR((COUNTIFS('Adverse Events'!$I$2:$I$61,A24,'Adverse Events'!$G$2:$G$61,"Related")+COUNTIFS('Adverse Events'!$I$2:$I$61,A24,'Adverse Events'!$G$2:$G$61,"Possibly related"))/E24,0)</f>
        <v>0.2608695652173913</v>
      </c>
    </row>
    <row r="25" spans="1:8" x14ac:dyDescent="0.25">
      <c r="A25" s="10" t="s">
        <v>68</v>
      </c>
      <c r="B25" s="15">
        <f>SUMPRODUCT((Subjects!$F$2:$F$82=A25)/COUNTIF(Subjects!$A$2:$A$82,Subjects!$A$2:$A$82))</f>
        <v>42</v>
      </c>
      <c r="C25" s="15">
        <f>SUMPRODUCT((Subjects!$F$2:$F$82=A25)*(Subjects!$G$2:$G$82="Withdrawn")/COUNTIF(Subjects!$A$2:$A$82,Subjects!$A$2:$A$82))</f>
        <v>15</v>
      </c>
      <c r="D25" s="12">
        <f>IFERROR(C25/B25,0)</f>
        <v>0.35714285714285715</v>
      </c>
      <c r="E25" s="10">
        <f>COUNTIF('Adverse Events'!$I$2:$I$61,A25)</f>
        <v>35</v>
      </c>
      <c r="F25" s="16">
        <f>IFERROR(E25/B25,0)</f>
        <v>0.83333333333333337</v>
      </c>
      <c r="G25" s="10">
        <f>COUNTIFS('Adverse Events'!$I$2:$I$61,A25,'Adverse Events'!$F$2:$F$61,"Yes")</f>
        <v>5</v>
      </c>
      <c r="H25" s="12">
        <f>IFERROR((COUNTIFS('Adverse Events'!$I$2:$I$61,A25,'Adverse Events'!$G$2:$G$61,"Related")+COUNTIFS('Adverse Events'!$I$2:$I$61,A25,'Adverse Events'!$G$2:$G$61,"Possibly related"))/E25,0)</f>
        <v>0.6</v>
      </c>
    </row>
    <row r="26" spans="1:8" x14ac:dyDescent="0.25">
      <c r="A26" s="17" t="s">
        <v>69</v>
      </c>
    </row>
    <row r="28" spans="1:8" ht="15.75" x14ac:dyDescent="0.25">
      <c r="A28" s="14" t="s">
        <v>70</v>
      </c>
    </row>
    <row r="29" spans="1:8" x14ac:dyDescent="0.25">
      <c r="A29" s="9" t="s">
        <v>71</v>
      </c>
      <c r="B29" s="9" t="s">
        <v>60</v>
      </c>
      <c r="C29" s="9" t="s">
        <v>36</v>
      </c>
      <c r="D29" s="9" t="s">
        <v>72</v>
      </c>
      <c r="E29" s="9" t="s">
        <v>73</v>
      </c>
    </row>
    <row r="30" spans="1:8" x14ac:dyDescent="0.25">
      <c r="A30" s="10" t="s">
        <v>74</v>
      </c>
      <c r="B30" s="15">
        <f>SUMPRODUCT((Subjects!$B$2:$B$82=A30)/COUNTIF(Subjects!$A$2:$A$82,Subjects!$A$2:$A$82))</f>
        <v>22</v>
      </c>
      <c r="C30" s="10">
        <f>COUNTIF(Visits!$B$2:$B$293,A30)</f>
        <v>70</v>
      </c>
      <c r="D30" s="10">
        <f>COUNTIFS(Subjects!$B$2:$B$82,A30,Subjects!$H$2:$H$82,"&lt;&gt;OK")+COUNTIFS(Visits!$B$2:$B$293,A30,Visits!$I$2:$I$293,"&lt;&gt;OK")</f>
        <v>4</v>
      </c>
      <c r="E30" s="12">
        <f>D30/(COUNTIF(Subjects!$B$2:$B$82,A30)+C30)</f>
        <v>4.3010752688172046E-2</v>
      </c>
    </row>
    <row r="31" spans="1:8" x14ac:dyDescent="0.25">
      <c r="A31" s="10" t="s">
        <v>75</v>
      </c>
      <c r="B31" s="15">
        <f>SUMPRODUCT((Subjects!$B$2:$B$82=A31)/COUNTIF(Subjects!$A$2:$A$82,Subjects!$A$2:$A$82))</f>
        <v>14</v>
      </c>
      <c r="C31" s="10">
        <f>COUNTIF(Visits!$B$2:$B$293,A31)</f>
        <v>48</v>
      </c>
      <c r="D31" s="10">
        <f>COUNTIFS(Subjects!$B$2:$B$82,A31,Subjects!$H$2:$H$82,"&lt;&gt;OK")+COUNTIFS(Visits!$B$2:$B$293,A31,Visits!$I$2:$I$293,"&lt;&gt;OK")</f>
        <v>2</v>
      </c>
      <c r="E31" s="12">
        <f>D31/(COUNTIF(Subjects!$B$2:$B$82,A31)+C31)</f>
        <v>3.2258064516129031E-2</v>
      </c>
    </row>
    <row r="32" spans="1:8" x14ac:dyDescent="0.25">
      <c r="A32" s="10" t="s">
        <v>76</v>
      </c>
      <c r="B32" s="15">
        <f>SUMPRODUCT((Subjects!$B$2:$B$82=A32)/COUNTIF(Subjects!$A$2:$A$82,Subjects!$A$2:$A$82))</f>
        <v>16</v>
      </c>
      <c r="C32" s="10">
        <f>COUNTIF(Visits!$B$2:$B$293,A32)</f>
        <v>64</v>
      </c>
      <c r="D32" s="10">
        <f>COUNTIFS(Subjects!$B$2:$B$82,A32,Subjects!$H$2:$H$82,"&lt;&gt;OK")+COUNTIFS(Visits!$B$2:$B$293,A32,Visits!$I$2:$I$293,"&lt;&gt;OK")</f>
        <v>2</v>
      </c>
      <c r="E32" s="12">
        <f>D32/(COUNTIF(Subjects!$B$2:$B$82,A32)+C32)</f>
        <v>2.5000000000000001E-2</v>
      </c>
    </row>
    <row r="33" spans="1:5" x14ac:dyDescent="0.25">
      <c r="A33" s="10" t="s">
        <v>77</v>
      </c>
      <c r="B33" s="15">
        <f>SUMPRODUCT((Subjects!$B$2:$B$82=A33)/COUNTIF(Subjects!$A$2:$A$82,Subjects!$A$2:$A$82))</f>
        <v>17</v>
      </c>
      <c r="C33" s="10">
        <f>COUNTIF(Visits!$B$2:$B$293,A33)</f>
        <v>66</v>
      </c>
      <c r="D33" s="10">
        <f>COUNTIFS(Subjects!$B$2:$B$82,A33,Subjects!$H$2:$H$82,"&lt;&gt;OK")+COUNTIFS(Visits!$B$2:$B$293,A33,Visits!$I$2:$I$293,"&lt;&gt;OK")</f>
        <v>3</v>
      </c>
      <c r="E33" s="12">
        <f>D33/(COUNTIF(Subjects!$B$2:$B$82,A33)+C33)</f>
        <v>3.614457831325301E-2</v>
      </c>
    </row>
    <row r="34" spans="1:5" x14ac:dyDescent="0.25">
      <c r="A34" s="10" t="s">
        <v>78</v>
      </c>
      <c r="B34" s="15">
        <f>SUMPRODUCT((Subjects!$B$2:$B$82=A34)/COUNTIF(Subjects!$A$2:$A$82,Subjects!$A$2:$A$82))</f>
        <v>11</v>
      </c>
      <c r="C34" s="10">
        <f>COUNTIF(Visits!$B$2:$B$293,A34)</f>
        <v>44</v>
      </c>
      <c r="D34" s="10">
        <f>COUNTIFS(Subjects!$B$2:$B$82,A34,Subjects!$H$2:$H$82,"&lt;&gt;OK")+COUNTIFS(Visits!$B$2:$B$293,A34,Visits!$I$2:$I$293,"&lt;&gt;OK")</f>
        <v>1</v>
      </c>
      <c r="E34" s="12">
        <f>D34/(COUNTIF(Subjects!$B$2:$B$82,A34)+C34)</f>
        <v>1.8181818181818181E-2</v>
      </c>
    </row>
    <row r="36" spans="1:5" ht="15.75" x14ac:dyDescent="0.25">
      <c r="A36" s="14" t="s">
        <v>79</v>
      </c>
    </row>
    <row r="37" spans="1:5" x14ac:dyDescent="0.25">
      <c r="A37" s="9" t="s">
        <v>80</v>
      </c>
      <c r="B37" s="9" t="s">
        <v>72</v>
      </c>
      <c r="C37" s="9" t="s">
        <v>81</v>
      </c>
      <c r="D37" s="9" t="s">
        <v>73</v>
      </c>
    </row>
    <row r="38" spans="1:5" x14ac:dyDescent="0.25">
      <c r="A38" s="10" t="s">
        <v>60</v>
      </c>
      <c r="B38" s="10">
        <f>COUNTIF(Subjects!$H$2:$H$82,"&lt;&gt;OK")</f>
        <v>5</v>
      </c>
      <c r="C38" s="10">
        <f>COUNTA(Subjects!$A$2:$A$82)</f>
        <v>81</v>
      </c>
      <c r="D38" s="12">
        <f>B38/C38</f>
        <v>6.1728395061728392E-2</v>
      </c>
    </row>
    <row r="39" spans="1:5" x14ac:dyDescent="0.25">
      <c r="A39" s="10" t="s">
        <v>82</v>
      </c>
      <c r="B39" s="10">
        <f>COUNTIF(Visits!$I$2:$I$293,"&lt;&gt;OK")</f>
        <v>7</v>
      </c>
      <c r="C39" s="10">
        <f>COUNTA(Visits!$A$2:$A$293)</f>
        <v>292</v>
      </c>
      <c r="D39" s="12">
        <f>B39/C39</f>
        <v>2.3972602739726026E-2</v>
      </c>
    </row>
    <row r="40" spans="1:5" x14ac:dyDescent="0.25">
      <c r="A40" s="10" t="s">
        <v>83</v>
      </c>
      <c r="B40" s="10">
        <f>COUNTIF('Adverse Events'!$J$2:$J$61,"&lt;&gt;OK")</f>
        <v>4</v>
      </c>
      <c r="C40" s="10">
        <f>COUNTA('Adverse Events'!$A$2:$A$61)</f>
        <v>60</v>
      </c>
      <c r="D40" s="12">
        <f>B40/C40</f>
        <v>6.6666666666666666E-2</v>
      </c>
    </row>
    <row r="42" spans="1:5" ht="15.75" x14ac:dyDescent="0.25">
      <c r="A42" s="14" t="s">
        <v>84</v>
      </c>
    </row>
    <row r="43" spans="1:5" x14ac:dyDescent="0.25">
      <c r="A43" s="9" t="s">
        <v>85</v>
      </c>
      <c r="B43" s="9" t="s">
        <v>86</v>
      </c>
    </row>
    <row r="44" spans="1:5" x14ac:dyDescent="0.25">
      <c r="A44" s="10" t="s">
        <v>87</v>
      </c>
      <c r="B44" s="10">
        <f>COUNTIF('Query Log'!$H$2:$H$18,A44)</f>
        <v>10</v>
      </c>
    </row>
    <row r="45" spans="1:5" x14ac:dyDescent="0.25">
      <c r="A45" s="10" t="s">
        <v>88</v>
      </c>
      <c r="B45" s="10">
        <f>COUNTIF('Query Log'!$H$2:$H$18,A45)</f>
        <v>3</v>
      </c>
    </row>
    <row r="46" spans="1:5" x14ac:dyDescent="0.25">
      <c r="A46" s="10" t="s">
        <v>89</v>
      </c>
      <c r="B46" s="10">
        <f>COUNTIF('Query Log'!$H$2:$H$18,A46)</f>
        <v>1</v>
      </c>
    </row>
    <row r="47" spans="1:5" x14ac:dyDescent="0.25">
      <c r="A47" s="10" t="s">
        <v>90</v>
      </c>
      <c r="B47" s="10">
        <f>COUNTIF('Query Log'!$H$2:$H$18,A47)</f>
        <v>3</v>
      </c>
    </row>
    <row r="49" spans="1:1" x14ac:dyDescent="0.25">
      <c r="A49" s="6" t="s">
        <v>91</v>
      </c>
    </row>
  </sheetData>
  <mergeCells count="10">
    <mergeCell ref="C8:H8"/>
    <mergeCell ref="C7:H7"/>
    <mergeCell ref="C6:H6"/>
    <mergeCell ref="C5:H5"/>
    <mergeCell ref="C9:H9"/>
    <mergeCell ref="C10:H10"/>
    <mergeCell ref="C11:H11"/>
    <mergeCell ref="C12:H12"/>
    <mergeCell ref="C13:H13"/>
    <mergeCell ref="C4:H4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2"/>
  <sheetViews>
    <sheetView zoomScaleNormal="100" workbookViewId="0">
      <pane ySplit="1" topLeftCell="A65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2" customWidth="1"/>
    <col min="3" max="3" width="16" customWidth="1"/>
    <col min="4" max="4" width="8" customWidth="1"/>
    <col min="5" max="5" width="10" customWidth="1"/>
    <col min="6" max="6" width="16" customWidth="1"/>
    <col min="7" max="7" width="14" customWidth="1"/>
    <col min="8" max="8" width="24" customWidth="1"/>
  </cols>
  <sheetData>
    <row r="1" spans="1:8" ht="31.5" customHeight="1" x14ac:dyDescent="0.25">
      <c r="A1" s="18" t="s">
        <v>92</v>
      </c>
      <c r="B1" s="18" t="s">
        <v>93</v>
      </c>
      <c r="C1" s="18" t="s">
        <v>94</v>
      </c>
      <c r="D1" s="18" t="s">
        <v>95</v>
      </c>
      <c r="E1" s="18" t="s">
        <v>96</v>
      </c>
      <c r="F1" s="18" t="s">
        <v>97</v>
      </c>
      <c r="G1" s="18" t="s">
        <v>98</v>
      </c>
      <c r="H1" s="18" t="s">
        <v>99</v>
      </c>
    </row>
    <row r="2" spans="1:8" x14ac:dyDescent="0.25">
      <c r="A2" s="10" t="s">
        <v>100</v>
      </c>
      <c r="B2" s="10" t="s">
        <v>74</v>
      </c>
      <c r="C2" s="19">
        <v>46028</v>
      </c>
      <c r="D2" s="10">
        <v>65</v>
      </c>
      <c r="E2" s="10" t="s">
        <v>101</v>
      </c>
      <c r="F2" s="10" t="s">
        <v>68</v>
      </c>
      <c r="G2" s="10" t="s">
        <v>102</v>
      </c>
      <c r="H2" s="10" t="str">
        <f>IF(COUNTBLANK(A2:G2)&gt;0,"Missing field",IF(COUNTIF($A$2:$A$82,A2)&gt;1,"Duplicate subject ID",IF(OR(D2&lt;'Check Rules'!$B$3,D2&gt;'Check Rules'!$B$4),"Age out of range","OK")))</f>
        <v>OK</v>
      </c>
    </row>
    <row r="3" spans="1:8" x14ac:dyDescent="0.25">
      <c r="A3" s="10" t="s">
        <v>103</v>
      </c>
      <c r="B3" s="10" t="s">
        <v>75</v>
      </c>
      <c r="C3" s="19">
        <v>46074</v>
      </c>
      <c r="D3" s="10">
        <v>24</v>
      </c>
      <c r="E3" s="10" t="s">
        <v>104</v>
      </c>
      <c r="F3" s="10" t="s">
        <v>67</v>
      </c>
      <c r="G3" s="10" t="s">
        <v>102</v>
      </c>
      <c r="H3" s="10" t="str">
        <f>IF(COUNTBLANK(A3:G3)&gt;0,"Missing field",IF(COUNTIF($A$2:$A$82,A3)&gt;1,"Duplicate subject ID",IF(OR(D3&lt;'Check Rules'!$B$3,D3&gt;'Check Rules'!$B$4),"Age out of range","OK")))</f>
        <v>OK</v>
      </c>
    </row>
    <row r="4" spans="1:8" x14ac:dyDescent="0.25">
      <c r="A4" s="10" t="s">
        <v>105</v>
      </c>
      <c r="B4" s="10" t="s">
        <v>74</v>
      </c>
      <c r="C4" s="19">
        <v>46032</v>
      </c>
      <c r="D4" s="10">
        <v>31</v>
      </c>
      <c r="E4" s="10" t="s">
        <v>104</v>
      </c>
      <c r="F4" s="10" t="s">
        <v>68</v>
      </c>
      <c r="G4" s="10" t="s">
        <v>61</v>
      </c>
      <c r="H4" s="10" t="str">
        <f>IF(COUNTBLANK(A4:G4)&gt;0,"Missing field",IF(COUNTIF($A$2:$A$82,A4)&gt;1,"Duplicate subject ID",IF(OR(D4&lt;'Check Rules'!$B$3,D4&gt;'Check Rules'!$B$4),"Age out of range","OK")))</f>
        <v>OK</v>
      </c>
    </row>
    <row r="5" spans="1:8" x14ac:dyDescent="0.25">
      <c r="A5" s="10" t="s">
        <v>106</v>
      </c>
      <c r="B5" s="10" t="s">
        <v>75</v>
      </c>
      <c r="C5" s="19">
        <v>46072</v>
      </c>
      <c r="D5" s="10">
        <v>59</v>
      </c>
      <c r="E5" s="10" t="s">
        <v>101</v>
      </c>
      <c r="F5" s="10" t="s">
        <v>68</v>
      </c>
      <c r="G5" s="10" t="s">
        <v>107</v>
      </c>
      <c r="H5" s="10" t="str">
        <f>IF(COUNTBLANK(A5:G5)&gt;0,"Missing field",IF(COUNTIF($A$2:$A$82,A5)&gt;1,"Duplicate subject ID",IF(OR(D5&lt;'Check Rules'!$B$3,D5&gt;'Check Rules'!$B$4),"Age out of range","OK")))</f>
        <v>OK</v>
      </c>
    </row>
    <row r="6" spans="1:8" x14ac:dyDescent="0.25">
      <c r="A6" s="10" t="s">
        <v>108</v>
      </c>
      <c r="B6" s="10" t="s">
        <v>78</v>
      </c>
      <c r="C6" s="19">
        <v>46044</v>
      </c>
      <c r="D6" s="10">
        <v>69</v>
      </c>
      <c r="E6" s="10" t="s">
        <v>104</v>
      </c>
      <c r="F6" s="10" t="s">
        <v>68</v>
      </c>
      <c r="G6" s="10" t="s">
        <v>61</v>
      </c>
      <c r="H6" s="10" t="str">
        <f>IF(COUNTBLANK(A6:G6)&gt;0,"Missing field",IF(COUNTIF($A$2:$A$82,A6)&gt;1,"Duplicate subject ID",IF(OR(D6&lt;'Check Rules'!$B$3,D6&gt;'Check Rules'!$B$4),"Age out of range","OK")))</f>
        <v>OK</v>
      </c>
    </row>
    <row r="7" spans="1:8" x14ac:dyDescent="0.25">
      <c r="A7" s="10" t="s">
        <v>109</v>
      </c>
      <c r="B7" s="10" t="s">
        <v>77</v>
      </c>
      <c r="C7" s="19">
        <v>46048</v>
      </c>
      <c r="D7" s="10">
        <v>35</v>
      </c>
      <c r="E7" s="10" t="s">
        <v>104</v>
      </c>
      <c r="F7" s="10" t="s">
        <v>68</v>
      </c>
      <c r="G7" s="10" t="s">
        <v>107</v>
      </c>
      <c r="H7" s="10" t="str">
        <f>IF(COUNTBLANK(A7:G7)&gt;0,"Missing field",IF(COUNTIF($A$2:$A$82,A7)&gt;1,"Duplicate subject ID",IF(OR(D7&lt;'Check Rules'!$B$3,D7&gt;'Check Rules'!$B$4),"Age out of range","OK")))</f>
        <v>OK</v>
      </c>
    </row>
    <row r="8" spans="1:8" x14ac:dyDescent="0.25">
      <c r="A8" s="10" t="s">
        <v>110</v>
      </c>
      <c r="B8" s="10" t="s">
        <v>74</v>
      </c>
      <c r="C8" s="19">
        <v>46032</v>
      </c>
      <c r="D8" s="10">
        <v>42</v>
      </c>
      <c r="E8" s="10" t="s">
        <v>104</v>
      </c>
      <c r="F8" s="10" t="s">
        <v>67</v>
      </c>
      <c r="G8" s="10" t="s">
        <v>107</v>
      </c>
      <c r="H8" s="10" t="str">
        <f>IF(COUNTBLANK(A8:G8)&gt;0,"Missing field",IF(COUNTIF($A$2:$A$82,A8)&gt;1,"Duplicate subject ID",IF(OR(D8&lt;'Check Rules'!$B$3,D8&gt;'Check Rules'!$B$4),"Age out of range","OK")))</f>
        <v>OK</v>
      </c>
    </row>
    <row r="9" spans="1:8" x14ac:dyDescent="0.25">
      <c r="A9" s="10" t="s">
        <v>111</v>
      </c>
      <c r="B9" s="10" t="s">
        <v>78</v>
      </c>
      <c r="C9" s="19">
        <v>46043</v>
      </c>
      <c r="D9" s="10">
        <v>69</v>
      </c>
      <c r="E9" s="10" t="s">
        <v>104</v>
      </c>
      <c r="F9" s="10" t="s">
        <v>67</v>
      </c>
      <c r="G9" s="10" t="s">
        <v>61</v>
      </c>
      <c r="H9" s="10" t="str">
        <f>IF(COUNTBLANK(A9:G9)&gt;0,"Missing field",IF(COUNTIF($A$2:$A$82,A9)&gt;1,"Duplicate subject ID",IF(OR(D9&lt;'Check Rules'!$B$3,D9&gt;'Check Rules'!$B$4),"Age out of range","OK")))</f>
        <v>OK</v>
      </c>
    </row>
    <row r="10" spans="1:8" x14ac:dyDescent="0.25">
      <c r="A10" s="10" t="s">
        <v>112</v>
      </c>
      <c r="B10" s="10" t="s">
        <v>74</v>
      </c>
      <c r="C10" s="19">
        <v>46051</v>
      </c>
      <c r="D10" s="10">
        <v>23</v>
      </c>
      <c r="E10" s="10" t="s">
        <v>101</v>
      </c>
      <c r="F10" s="10" t="s">
        <v>67</v>
      </c>
      <c r="G10" s="10" t="s">
        <v>61</v>
      </c>
      <c r="H10" s="10" t="str">
        <f>IF(COUNTBLANK(A10:G10)&gt;0,"Missing field",IF(COUNTIF($A$2:$A$82,A10)&gt;1,"Duplicate subject ID",IF(OR(D10&lt;'Check Rules'!$B$3,D10&gt;'Check Rules'!$B$4),"Age out of range","OK")))</f>
        <v>OK</v>
      </c>
    </row>
    <row r="11" spans="1:8" x14ac:dyDescent="0.25">
      <c r="A11" s="10" t="s">
        <v>113</v>
      </c>
      <c r="B11" s="10" t="s">
        <v>75</v>
      </c>
      <c r="C11" s="19">
        <v>46072</v>
      </c>
      <c r="D11" s="10">
        <v>22</v>
      </c>
      <c r="E11" s="10" t="s">
        <v>104</v>
      </c>
      <c r="F11" s="10" t="s">
        <v>68</v>
      </c>
      <c r="G11" s="10" t="s">
        <v>107</v>
      </c>
      <c r="H11" s="10" t="str">
        <f>IF(COUNTBLANK(A11:G11)&gt;0,"Missing field",IF(COUNTIF($A$2:$A$82,A11)&gt;1,"Duplicate subject ID",IF(OR(D11&lt;'Check Rules'!$B$3,D11&gt;'Check Rules'!$B$4),"Age out of range","OK")))</f>
        <v>OK</v>
      </c>
    </row>
    <row r="12" spans="1:8" x14ac:dyDescent="0.25">
      <c r="A12" s="10" t="s">
        <v>114</v>
      </c>
      <c r="B12" s="10" t="s">
        <v>74</v>
      </c>
      <c r="C12" s="19">
        <v>46041</v>
      </c>
      <c r="D12" s="10">
        <v>73</v>
      </c>
      <c r="E12" s="10" t="s">
        <v>104</v>
      </c>
      <c r="F12" s="10" t="s">
        <v>67</v>
      </c>
      <c r="G12" s="10" t="s">
        <v>107</v>
      </c>
      <c r="H12" s="10" t="str">
        <f>IF(COUNTBLANK(A12:G12)&gt;0,"Missing field",IF(COUNTIF($A$2:$A$82,A12)&gt;1,"Duplicate subject ID",IF(OR(D12&lt;'Check Rules'!$B$3,D12&gt;'Check Rules'!$B$4),"Age out of range","OK")))</f>
        <v>Duplicate subject ID</v>
      </c>
    </row>
    <row r="13" spans="1:8" x14ac:dyDescent="0.25">
      <c r="A13" s="10" t="s">
        <v>115</v>
      </c>
      <c r="B13" s="10" t="s">
        <v>77</v>
      </c>
      <c r="C13" s="19">
        <v>46067</v>
      </c>
      <c r="D13" s="10">
        <v>71</v>
      </c>
      <c r="E13" s="10" t="s">
        <v>101</v>
      </c>
      <c r="F13" s="10" t="s">
        <v>68</v>
      </c>
      <c r="G13" s="10" t="s">
        <v>107</v>
      </c>
      <c r="H13" s="10" t="str">
        <f>IF(COUNTBLANK(A13:G13)&gt;0,"Missing field",IF(COUNTIF($A$2:$A$82,A13)&gt;1,"Duplicate subject ID",IF(OR(D13&lt;'Check Rules'!$B$3,D13&gt;'Check Rules'!$B$4),"Age out of range","OK")))</f>
        <v>OK</v>
      </c>
    </row>
    <row r="14" spans="1:8" x14ac:dyDescent="0.25">
      <c r="A14" s="10" t="s">
        <v>116</v>
      </c>
      <c r="B14" s="10" t="s">
        <v>76</v>
      </c>
      <c r="C14" s="19">
        <v>46040</v>
      </c>
      <c r="D14" s="10">
        <v>60</v>
      </c>
      <c r="E14" s="10" t="s">
        <v>101</v>
      </c>
      <c r="F14" s="10" t="s">
        <v>68</v>
      </c>
      <c r="G14" s="10" t="s">
        <v>61</v>
      </c>
      <c r="H14" s="10" t="str">
        <f>IF(COUNTBLANK(A14:G14)&gt;0,"Missing field",IF(COUNTIF($A$2:$A$82,A14)&gt;1,"Duplicate subject ID",IF(OR(D14&lt;'Check Rules'!$B$3,D14&gt;'Check Rules'!$B$4),"Age out of range","OK")))</f>
        <v>OK</v>
      </c>
    </row>
    <row r="15" spans="1:8" x14ac:dyDescent="0.25">
      <c r="A15" s="10" t="s">
        <v>117</v>
      </c>
      <c r="B15" s="10" t="s">
        <v>75</v>
      </c>
      <c r="C15" s="19">
        <v>46061</v>
      </c>
      <c r="D15" s="10">
        <v>64</v>
      </c>
      <c r="E15" s="10" t="s">
        <v>104</v>
      </c>
      <c r="F15" s="10" t="s">
        <v>68</v>
      </c>
      <c r="G15" s="10" t="s">
        <v>107</v>
      </c>
      <c r="H15" s="10" t="str">
        <f>IF(COUNTBLANK(A15:G15)&gt;0,"Missing field",IF(COUNTIF($A$2:$A$82,A15)&gt;1,"Duplicate subject ID",IF(OR(D15&lt;'Check Rules'!$B$3,D15&gt;'Check Rules'!$B$4),"Age out of range","OK")))</f>
        <v>OK</v>
      </c>
    </row>
    <row r="16" spans="1:8" x14ac:dyDescent="0.25">
      <c r="A16" s="10" t="s">
        <v>118</v>
      </c>
      <c r="B16" s="10" t="s">
        <v>77</v>
      </c>
      <c r="C16" s="19">
        <v>46044</v>
      </c>
      <c r="D16" s="10">
        <v>77</v>
      </c>
      <c r="E16" s="10" t="s">
        <v>104</v>
      </c>
      <c r="F16" s="10" t="s">
        <v>67</v>
      </c>
      <c r="G16" s="10" t="s">
        <v>102</v>
      </c>
      <c r="H16" s="10" t="str">
        <f>IF(COUNTBLANK(A16:G16)&gt;0,"Missing field",IF(COUNTIF($A$2:$A$82,A16)&gt;1,"Duplicate subject ID",IF(OR(D16&lt;'Check Rules'!$B$3,D16&gt;'Check Rules'!$B$4),"Age out of range","OK")))</f>
        <v>OK</v>
      </c>
    </row>
    <row r="17" spans="1:8" x14ac:dyDescent="0.25">
      <c r="A17" s="10" t="s">
        <v>119</v>
      </c>
      <c r="B17" s="10" t="s">
        <v>75</v>
      </c>
      <c r="C17" s="19">
        <v>46029</v>
      </c>
      <c r="D17" s="10">
        <v>69</v>
      </c>
      <c r="E17" s="10" t="s">
        <v>101</v>
      </c>
      <c r="F17" s="10" t="s">
        <v>67</v>
      </c>
      <c r="G17" s="10" t="s">
        <v>107</v>
      </c>
      <c r="H17" s="10" t="str">
        <f>IF(COUNTBLANK(A17:G17)&gt;0,"Missing field",IF(COUNTIF($A$2:$A$82,A17)&gt;1,"Duplicate subject ID",IF(OR(D17&lt;'Check Rules'!$B$3,D17&gt;'Check Rules'!$B$4),"Age out of range","OK")))</f>
        <v>OK</v>
      </c>
    </row>
    <row r="18" spans="1:8" x14ac:dyDescent="0.25">
      <c r="A18" s="10" t="s">
        <v>120</v>
      </c>
      <c r="B18" s="10" t="s">
        <v>74</v>
      </c>
      <c r="C18" s="19">
        <v>46040</v>
      </c>
      <c r="D18" s="10">
        <v>76</v>
      </c>
      <c r="E18" s="10" t="s">
        <v>101</v>
      </c>
      <c r="F18" s="10" t="s">
        <v>68</v>
      </c>
      <c r="G18" s="10" t="s">
        <v>61</v>
      </c>
      <c r="H18" s="10" t="str">
        <f>IF(COUNTBLANK(A18:G18)&gt;0,"Missing field",IF(COUNTIF($A$2:$A$82,A18)&gt;1,"Duplicate subject ID",IF(OR(D18&lt;'Check Rules'!$B$3,D18&gt;'Check Rules'!$B$4),"Age out of range","OK")))</f>
        <v>OK</v>
      </c>
    </row>
    <row r="19" spans="1:8" x14ac:dyDescent="0.25">
      <c r="A19" s="10" t="s">
        <v>121</v>
      </c>
      <c r="B19" s="10" t="s">
        <v>77</v>
      </c>
      <c r="C19" s="19">
        <v>46052</v>
      </c>
      <c r="D19" s="10">
        <v>74</v>
      </c>
      <c r="E19" s="10" t="s">
        <v>101</v>
      </c>
      <c r="F19" s="10" t="s">
        <v>68</v>
      </c>
      <c r="G19" s="10" t="s">
        <v>107</v>
      </c>
      <c r="H19" s="10" t="str">
        <f>IF(COUNTBLANK(A19:G19)&gt;0,"Missing field",IF(COUNTIF($A$2:$A$82,A19)&gt;1,"Duplicate subject ID",IF(OR(D19&lt;'Check Rules'!$B$3,D19&gt;'Check Rules'!$B$4),"Age out of range","OK")))</f>
        <v>OK</v>
      </c>
    </row>
    <row r="20" spans="1:8" x14ac:dyDescent="0.25">
      <c r="A20" s="10" t="s">
        <v>122</v>
      </c>
      <c r="B20" s="10" t="s">
        <v>75</v>
      </c>
      <c r="C20" s="19">
        <v>46042</v>
      </c>
      <c r="D20" s="10">
        <v>65</v>
      </c>
      <c r="E20" s="10" t="s">
        <v>101</v>
      </c>
      <c r="F20" s="10" t="s">
        <v>67</v>
      </c>
      <c r="G20" s="10" t="s">
        <v>61</v>
      </c>
      <c r="H20" s="10" t="str">
        <f>IF(COUNTBLANK(A20:G20)&gt;0,"Missing field",IF(COUNTIF($A$2:$A$82,A20)&gt;1,"Duplicate subject ID",IF(OR(D20&lt;'Check Rules'!$B$3,D20&gt;'Check Rules'!$B$4),"Age out of range","OK")))</f>
        <v>OK</v>
      </c>
    </row>
    <row r="21" spans="1:8" x14ac:dyDescent="0.25">
      <c r="A21" s="10" t="s">
        <v>123</v>
      </c>
      <c r="B21" s="10" t="s">
        <v>77</v>
      </c>
      <c r="C21" s="19">
        <v>46050</v>
      </c>
      <c r="D21" s="10">
        <v>32</v>
      </c>
      <c r="E21" s="10" t="s">
        <v>104</v>
      </c>
      <c r="F21" s="10" t="s">
        <v>67</v>
      </c>
      <c r="G21" s="10" t="s">
        <v>102</v>
      </c>
      <c r="H21" s="10" t="str">
        <f>IF(COUNTBLANK(A21:G21)&gt;0,"Missing field",IF(COUNTIF($A$2:$A$82,A21)&gt;1,"Duplicate subject ID",IF(OR(D21&lt;'Check Rules'!$B$3,D21&gt;'Check Rules'!$B$4),"Age out of range","OK")))</f>
        <v>OK</v>
      </c>
    </row>
    <row r="22" spans="1:8" x14ac:dyDescent="0.25">
      <c r="A22" s="10" t="s">
        <v>124</v>
      </c>
      <c r="B22" s="10" t="s">
        <v>74</v>
      </c>
      <c r="C22" s="19">
        <v>46034</v>
      </c>
      <c r="D22" s="10">
        <v>27</v>
      </c>
      <c r="E22" s="10" t="s">
        <v>104</v>
      </c>
      <c r="F22" s="10" t="s">
        <v>67</v>
      </c>
      <c r="G22" s="10" t="s">
        <v>61</v>
      </c>
      <c r="H22" s="10" t="str">
        <f>IF(COUNTBLANK(A22:G22)&gt;0,"Missing field",IF(COUNTIF($A$2:$A$82,A22)&gt;1,"Duplicate subject ID",IF(OR(D22&lt;'Check Rules'!$B$3,D22&gt;'Check Rules'!$B$4),"Age out of range","OK")))</f>
        <v>OK</v>
      </c>
    </row>
    <row r="23" spans="1:8" x14ac:dyDescent="0.25">
      <c r="A23" s="10" t="s">
        <v>125</v>
      </c>
      <c r="B23" s="10" t="s">
        <v>74</v>
      </c>
      <c r="C23" s="19">
        <v>46051</v>
      </c>
      <c r="D23" s="10">
        <v>42</v>
      </c>
      <c r="E23" s="10" t="s">
        <v>101</v>
      </c>
      <c r="F23" s="10" t="s">
        <v>67</v>
      </c>
      <c r="G23" s="10" t="s">
        <v>61</v>
      </c>
      <c r="H23" s="10" t="str">
        <f>IF(COUNTBLANK(A23:G23)&gt;0,"Missing field",IF(COUNTIF($A$2:$A$82,A23)&gt;1,"Duplicate subject ID",IF(OR(D23&lt;'Check Rules'!$B$3,D23&gt;'Check Rules'!$B$4),"Age out of range","OK")))</f>
        <v>OK</v>
      </c>
    </row>
    <row r="24" spans="1:8" x14ac:dyDescent="0.25">
      <c r="A24" s="10" t="s">
        <v>126</v>
      </c>
      <c r="B24" s="10" t="s">
        <v>74</v>
      </c>
      <c r="C24" s="19">
        <v>46070</v>
      </c>
      <c r="D24" s="10">
        <v>64</v>
      </c>
      <c r="E24" s="10" t="s">
        <v>104</v>
      </c>
      <c r="F24" s="10" t="s">
        <v>67</v>
      </c>
      <c r="G24" s="10" t="s">
        <v>61</v>
      </c>
      <c r="H24" s="10" t="str">
        <f>IF(COUNTBLANK(A24:G24)&gt;0,"Missing field",IF(COUNTIF($A$2:$A$82,A24)&gt;1,"Duplicate subject ID",IF(OR(D24&lt;'Check Rules'!$B$3,D24&gt;'Check Rules'!$B$4),"Age out of range","OK")))</f>
        <v>OK</v>
      </c>
    </row>
    <row r="25" spans="1:8" x14ac:dyDescent="0.25">
      <c r="A25" s="10" t="s">
        <v>127</v>
      </c>
      <c r="B25" s="10" t="s">
        <v>76</v>
      </c>
      <c r="C25" s="19">
        <v>46034</v>
      </c>
      <c r="D25" s="10">
        <v>36</v>
      </c>
      <c r="E25" s="10" t="s">
        <v>101</v>
      </c>
      <c r="F25" s="10" t="s">
        <v>68</v>
      </c>
      <c r="G25" s="10" t="s">
        <v>107</v>
      </c>
      <c r="H25" s="10" t="str">
        <f>IF(COUNTBLANK(A25:G25)&gt;0,"Missing field",IF(COUNTIF($A$2:$A$82,A25)&gt;1,"Duplicate subject ID",IF(OR(D25&lt;'Check Rules'!$B$3,D25&gt;'Check Rules'!$B$4),"Age out of range","OK")))</f>
        <v>OK</v>
      </c>
    </row>
    <row r="26" spans="1:8" x14ac:dyDescent="0.25">
      <c r="A26" s="10" t="s">
        <v>128</v>
      </c>
      <c r="B26" s="10" t="s">
        <v>74</v>
      </c>
      <c r="C26" s="19">
        <v>46073</v>
      </c>
      <c r="D26" s="10">
        <v>74</v>
      </c>
      <c r="E26" s="10" t="s">
        <v>101</v>
      </c>
      <c r="F26" s="10" t="s">
        <v>68</v>
      </c>
      <c r="G26" s="10" t="s">
        <v>61</v>
      </c>
      <c r="H26" s="10" t="str">
        <f>IF(COUNTBLANK(A26:G26)&gt;0,"Missing field",IF(COUNTIF($A$2:$A$82,A26)&gt;1,"Duplicate subject ID",IF(OR(D26&lt;'Check Rules'!$B$3,D26&gt;'Check Rules'!$B$4),"Age out of range","OK")))</f>
        <v>OK</v>
      </c>
    </row>
    <row r="27" spans="1:8" x14ac:dyDescent="0.25">
      <c r="A27" s="10" t="s">
        <v>129</v>
      </c>
      <c r="B27" s="10" t="s">
        <v>74</v>
      </c>
      <c r="C27" s="19">
        <v>46067</v>
      </c>
      <c r="D27" s="10">
        <v>37</v>
      </c>
      <c r="E27" s="10" t="s">
        <v>104</v>
      </c>
      <c r="F27" s="10" t="s">
        <v>68</v>
      </c>
      <c r="G27" s="10" t="s">
        <v>107</v>
      </c>
      <c r="H27" s="10" t="str">
        <f>IF(COUNTBLANK(A27:G27)&gt;0,"Missing field",IF(COUNTIF($A$2:$A$82,A27)&gt;1,"Duplicate subject ID",IF(OR(D27&lt;'Check Rules'!$B$3,D27&gt;'Check Rules'!$B$4),"Age out of range","OK")))</f>
        <v>OK</v>
      </c>
    </row>
    <row r="28" spans="1:8" x14ac:dyDescent="0.25">
      <c r="A28" s="10" t="s">
        <v>130</v>
      </c>
      <c r="B28" s="10" t="s">
        <v>75</v>
      </c>
      <c r="C28" s="19">
        <v>46061</v>
      </c>
      <c r="D28" s="10">
        <v>67</v>
      </c>
      <c r="E28" s="10" t="s">
        <v>104</v>
      </c>
      <c r="F28" s="10" t="s">
        <v>67</v>
      </c>
      <c r="G28" s="10" t="s">
        <v>107</v>
      </c>
      <c r="H28" s="10" t="str">
        <f>IF(COUNTBLANK(A28:G28)&gt;0,"Missing field",IF(COUNTIF($A$2:$A$82,A28)&gt;1,"Duplicate subject ID",IF(OR(D28&lt;'Check Rules'!$B$3,D28&gt;'Check Rules'!$B$4),"Age out of range","OK")))</f>
        <v>OK</v>
      </c>
    </row>
    <row r="29" spans="1:8" x14ac:dyDescent="0.25">
      <c r="A29" s="10" t="s">
        <v>131</v>
      </c>
      <c r="B29" s="10" t="s">
        <v>74</v>
      </c>
      <c r="C29" s="19">
        <v>46034</v>
      </c>
      <c r="D29" s="10">
        <v>77</v>
      </c>
      <c r="E29" s="10" t="s">
        <v>101</v>
      </c>
      <c r="F29" s="10" t="s">
        <v>67</v>
      </c>
      <c r="G29" s="10" t="s">
        <v>102</v>
      </c>
      <c r="H29" s="10" t="str">
        <f>IF(COUNTBLANK(A29:G29)&gt;0,"Missing field",IF(COUNTIF($A$2:$A$82,A29)&gt;1,"Duplicate subject ID",IF(OR(D29&lt;'Check Rules'!$B$3,D29&gt;'Check Rules'!$B$4),"Age out of range","OK")))</f>
        <v>OK</v>
      </c>
    </row>
    <row r="30" spans="1:8" x14ac:dyDescent="0.25">
      <c r="A30" s="10" t="s">
        <v>132</v>
      </c>
      <c r="B30" s="10" t="s">
        <v>74</v>
      </c>
      <c r="C30" s="19">
        <v>46042</v>
      </c>
      <c r="D30" s="10">
        <v>74</v>
      </c>
      <c r="E30" s="10" t="s">
        <v>104</v>
      </c>
      <c r="F30" s="10" t="s">
        <v>68</v>
      </c>
      <c r="G30" s="10" t="s">
        <v>61</v>
      </c>
      <c r="H30" s="10" t="str">
        <f>IF(COUNTBLANK(A30:G30)&gt;0,"Missing field",IF(COUNTIF($A$2:$A$82,A30)&gt;1,"Duplicate subject ID",IF(OR(D30&lt;'Check Rules'!$B$3,D30&gt;'Check Rules'!$B$4),"Age out of range","OK")))</f>
        <v>OK</v>
      </c>
    </row>
    <row r="31" spans="1:8" x14ac:dyDescent="0.25">
      <c r="A31" s="10" t="s">
        <v>133</v>
      </c>
      <c r="B31" s="10" t="s">
        <v>77</v>
      </c>
      <c r="C31" s="19">
        <v>46031</v>
      </c>
      <c r="D31" s="10">
        <v>66</v>
      </c>
      <c r="E31" s="10" t="s">
        <v>104</v>
      </c>
      <c r="F31" s="10" t="s">
        <v>68</v>
      </c>
      <c r="G31" s="10" t="s">
        <v>61</v>
      </c>
      <c r="H31" s="10" t="str">
        <f>IF(COUNTBLANK(A31:G31)&gt;0,"Missing field",IF(COUNTIF($A$2:$A$82,A31)&gt;1,"Duplicate subject ID",IF(OR(D31&lt;'Check Rules'!$B$3,D31&gt;'Check Rules'!$B$4),"Age out of range","OK")))</f>
        <v>OK</v>
      </c>
    </row>
    <row r="32" spans="1:8" x14ac:dyDescent="0.25">
      <c r="A32" s="10" t="s">
        <v>134</v>
      </c>
      <c r="B32" s="10" t="s">
        <v>77</v>
      </c>
      <c r="C32" s="19">
        <v>46062</v>
      </c>
      <c r="D32" s="10">
        <v>28</v>
      </c>
      <c r="E32" s="10" t="s">
        <v>101</v>
      </c>
      <c r="F32" s="10" t="s">
        <v>67</v>
      </c>
      <c r="G32" s="10" t="s">
        <v>102</v>
      </c>
      <c r="H32" s="10" t="str">
        <f>IF(COUNTBLANK(A32:G32)&gt;0,"Missing field",IF(COUNTIF($A$2:$A$82,A32)&gt;1,"Duplicate subject ID",IF(OR(D32&lt;'Check Rules'!$B$3,D32&gt;'Check Rules'!$B$4),"Age out of range","OK")))</f>
        <v>OK</v>
      </c>
    </row>
    <row r="33" spans="1:8" x14ac:dyDescent="0.25">
      <c r="A33" s="10" t="s">
        <v>135</v>
      </c>
      <c r="B33" s="10" t="s">
        <v>78</v>
      </c>
      <c r="C33" s="19">
        <v>46075</v>
      </c>
      <c r="D33" s="10">
        <v>64</v>
      </c>
      <c r="E33" s="10" t="s">
        <v>104</v>
      </c>
      <c r="F33" s="10" t="s">
        <v>67</v>
      </c>
      <c r="G33" s="10" t="s">
        <v>107</v>
      </c>
      <c r="H33" s="10" t="str">
        <f>IF(COUNTBLANK(A33:G33)&gt;0,"Missing field",IF(COUNTIF($A$2:$A$82,A33)&gt;1,"Duplicate subject ID",IF(OR(D33&lt;'Check Rules'!$B$3,D33&gt;'Check Rules'!$B$4),"Age out of range","OK")))</f>
        <v>OK</v>
      </c>
    </row>
    <row r="34" spans="1:8" x14ac:dyDescent="0.25">
      <c r="A34" s="10" t="s">
        <v>136</v>
      </c>
      <c r="B34" s="10" t="s">
        <v>76</v>
      </c>
      <c r="C34" s="19">
        <v>46055</v>
      </c>
      <c r="D34" s="10">
        <v>75</v>
      </c>
      <c r="E34" s="10" t="s">
        <v>101</v>
      </c>
      <c r="F34" s="10" t="s">
        <v>68</v>
      </c>
      <c r="G34" s="10" t="s">
        <v>102</v>
      </c>
      <c r="H34" s="10" t="str">
        <f>IF(COUNTBLANK(A34:G34)&gt;0,"Missing field",IF(COUNTIF($A$2:$A$82,A34)&gt;1,"Duplicate subject ID",IF(OR(D34&lt;'Check Rules'!$B$3,D34&gt;'Check Rules'!$B$4),"Age out of range","OK")))</f>
        <v>OK</v>
      </c>
    </row>
    <row r="35" spans="1:8" x14ac:dyDescent="0.25">
      <c r="A35" s="10" t="s">
        <v>137</v>
      </c>
      <c r="B35" s="10" t="s">
        <v>75</v>
      </c>
      <c r="C35" s="19">
        <v>46031</v>
      </c>
      <c r="D35" s="10">
        <v>39</v>
      </c>
      <c r="E35" s="10" t="s">
        <v>104</v>
      </c>
      <c r="F35" s="10" t="s">
        <v>68</v>
      </c>
      <c r="G35" s="10" t="s">
        <v>61</v>
      </c>
      <c r="H35" s="10" t="str">
        <f>IF(COUNTBLANK(A35:G35)&gt;0,"Missing field",IF(COUNTIF($A$2:$A$82,A35)&gt;1,"Duplicate subject ID",IF(OR(D35&lt;'Check Rules'!$B$3,D35&gt;'Check Rules'!$B$4),"Age out of range","OK")))</f>
        <v>OK</v>
      </c>
    </row>
    <row r="36" spans="1:8" x14ac:dyDescent="0.25">
      <c r="A36" s="10" t="s">
        <v>138</v>
      </c>
      <c r="B36" s="10" t="s">
        <v>75</v>
      </c>
      <c r="C36" s="19">
        <v>46027</v>
      </c>
      <c r="D36" s="10">
        <v>22</v>
      </c>
      <c r="E36" s="10" t="s">
        <v>104</v>
      </c>
      <c r="F36" s="10" t="s">
        <v>68</v>
      </c>
      <c r="G36" s="10" t="s">
        <v>102</v>
      </c>
      <c r="H36" s="10" t="str">
        <f>IF(COUNTBLANK(A36:G36)&gt;0,"Missing field",IF(COUNTIF($A$2:$A$82,A36)&gt;1,"Duplicate subject ID",IF(OR(D36&lt;'Check Rules'!$B$3,D36&gt;'Check Rules'!$B$4),"Age out of range","OK")))</f>
        <v>OK</v>
      </c>
    </row>
    <row r="37" spans="1:8" x14ac:dyDescent="0.25">
      <c r="A37" s="10" t="s">
        <v>139</v>
      </c>
      <c r="B37" s="10" t="s">
        <v>74</v>
      </c>
      <c r="C37" s="19">
        <v>46048</v>
      </c>
      <c r="D37" s="10">
        <v>22</v>
      </c>
      <c r="E37" s="10" t="s">
        <v>104</v>
      </c>
      <c r="F37" s="10" t="s">
        <v>67</v>
      </c>
      <c r="G37" s="10" t="s">
        <v>61</v>
      </c>
      <c r="H37" s="10" t="str">
        <f>IF(COUNTBLANK(A37:G37)&gt;0,"Missing field",IF(COUNTIF($A$2:$A$82,A37)&gt;1,"Duplicate subject ID",IF(OR(D37&lt;'Check Rules'!$B$3,D37&gt;'Check Rules'!$B$4),"Age out of range","OK")))</f>
        <v>OK</v>
      </c>
    </row>
    <row r="38" spans="1:8" x14ac:dyDescent="0.25">
      <c r="A38" s="10" t="s">
        <v>140</v>
      </c>
      <c r="B38" s="10" t="s">
        <v>77</v>
      </c>
      <c r="C38" s="19">
        <v>46040</v>
      </c>
      <c r="D38" s="10">
        <v>52</v>
      </c>
      <c r="E38" s="10" t="s">
        <v>104</v>
      </c>
      <c r="F38" s="10" t="s">
        <v>67</v>
      </c>
      <c r="G38" s="10" t="s">
        <v>102</v>
      </c>
      <c r="H38" s="10" t="str">
        <f>IF(COUNTBLANK(A38:G38)&gt;0,"Missing field",IF(COUNTIF($A$2:$A$82,A38)&gt;1,"Duplicate subject ID",IF(OR(D38&lt;'Check Rules'!$B$3,D38&gt;'Check Rules'!$B$4),"Age out of range","OK")))</f>
        <v>OK</v>
      </c>
    </row>
    <row r="39" spans="1:8" x14ac:dyDescent="0.25">
      <c r="A39" s="10" t="s">
        <v>141</v>
      </c>
      <c r="B39" s="10" t="s">
        <v>77</v>
      </c>
      <c r="C39" s="19">
        <v>46053</v>
      </c>
      <c r="D39" s="10">
        <v>30</v>
      </c>
      <c r="E39" s="10" t="s">
        <v>104</v>
      </c>
      <c r="F39" s="10" t="s">
        <v>68</v>
      </c>
      <c r="G39" s="10" t="s">
        <v>61</v>
      </c>
      <c r="H39" s="10" t="str">
        <f>IF(COUNTBLANK(A39:G39)&gt;0,"Missing field",IF(COUNTIF($A$2:$A$82,A39)&gt;1,"Duplicate subject ID",IF(OR(D39&lt;'Check Rules'!$B$3,D39&gt;'Check Rules'!$B$4),"Age out of range","OK")))</f>
        <v>OK</v>
      </c>
    </row>
    <row r="40" spans="1:8" x14ac:dyDescent="0.25">
      <c r="A40" s="10" t="s">
        <v>142</v>
      </c>
      <c r="B40" s="10" t="s">
        <v>77</v>
      </c>
      <c r="C40" s="19">
        <v>46049</v>
      </c>
      <c r="D40" s="10">
        <v>45</v>
      </c>
      <c r="E40" s="10" t="s">
        <v>101</v>
      </c>
      <c r="F40" s="10" t="s">
        <v>67</v>
      </c>
      <c r="G40" s="10" t="s">
        <v>61</v>
      </c>
      <c r="H40" s="10" t="str">
        <f>IF(COUNTBLANK(A40:G40)&gt;0,"Missing field",IF(COUNTIF($A$2:$A$82,A40)&gt;1,"Duplicate subject ID",IF(OR(D40&lt;'Check Rules'!$B$3,D40&gt;'Check Rules'!$B$4),"Age out of range","OK")))</f>
        <v>OK</v>
      </c>
    </row>
    <row r="41" spans="1:8" x14ac:dyDescent="0.25">
      <c r="A41" s="10" t="s">
        <v>143</v>
      </c>
      <c r="B41" s="10" t="s">
        <v>74</v>
      </c>
      <c r="C41" s="19">
        <v>46070</v>
      </c>
      <c r="D41" s="10">
        <v>59</v>
      </c>
      <c r="E41" s="10" t="s">
        <v>104</v>
      </c>
      <c r="F41" s="10" t="s">
        <v>68</v>
      </c>
      <c r="G41" s="10" t="s">
        <v>107</v>
      </c>
      <c r="H41" s="10" t="str">
        <f>IF(COUNTBLANK(A41:G41)&gt;0,"Missing field",IF(COUNTIF($A$2:$A$82,A41)&gt;1,"Duplicate subject ID",IF(OR(D41&lt;'Check Rules'!$B$3,D41&gt;'Check Rules'!$B$4),"Age out of range","OK")))</f>
        <v>OK</v>
      </c>
    </row>
    <row r="42" spans="1:8" x14ac:dyDescent="0.25">
      <c r="A42" s="10" t="s">
        <v>144</v>
      </c>
      <c r="B42" s="10" t="s">
        <v>76</v>
      </c>
      <c r="C42" s="19">
        <v>46033</v>
      </c>
      <c r="D42" s="10">
        <v>33</v>
      </c>
      <c r="E42" s="10" t="s">
        <v>104</v>
      </c>
      <c r="F42" s="10" t="s">
        <v>68</v>
      </c>
      <c r="G42" s="10" t="s">
        <v>61</v>
      </c>
      <c r="H42" s="10" t="str">
        <f>IF(COUNTBLANK(A42:G42)&gt;0,"Missing field",IF(COUNTIF($A$2:$A$82,A42)&gt;1,"Duplicate subject ID",IF(OR(D42&lt;'Check Rules'!$B$3,D42&gt;'Check Rules'!$B$4),"Age out of range","OK")))</f>
        <v>OK</v>
      </c>
    </row>
    <row r="43" spans="1:8" x14ac:dyDescent="0.25">
      <c r="A43" s="10" t="s">
        <v>145</v>
      </c>
      <c r="B43" s="10" t="s">
        <v>77</v>
      </c>
      <c r="C43" s="19">
        <v>46035</v>
      </c>
      <c r="D43" s="10">
        <v>45</v>
      </c>
      <c r="E43" s="10" t="s">
        <v>104</v>
      </c>
      <c r="F43" s="10" t="s">
        <v>67</v>
      </c>
      <c r="G43" s="10" t="s">
        <v>107</v>
      </c>
      <c r="H43" s="10" t="str">
        <f>IF(COUNTBLANK(A43:G43)&gt;0,"Missing field",IF(COUNTIF($A$2:$A$82,A43)&gt;1,"Duplicate subject ID",IF(OR(D43&lt;'Check Rules'!$B$3,D43&gt;'Check Rules'!$B$4),"Age out of range","OK")))</f>
        <v>OK</v>
      </c>
    </row>
    <row r="44" spans="1:8" x14ac:dyDescent="0.25">
      <c r="A44" s="10" t="s">
        <v>146</v>
      </c>
      <c r="B44" s="10" t="s">
        <v>75</v>
      </c>
      <c r="C44" s="19">
        <v>46031</v>
      </c>
      <c r="D44" s="10">
        <v>46</v>
      </c>
      <c r="E44" s="10" t="s">
        <v>104</v>
      </c>
      <c r="F44" s="10" t="s">
        <v>68</v>
      </c>
      <c r="G44" s="10" t="s">
        <v>61</v>
      </c>
      <c r="H44" s="10" t="str">
        <f>IF(COUNTBLANK(A44:G44)&gt;0,"Missing field",IF(COUNTIF($A$2:$A$82,A44)&gt;1,"Duplicate subject ID",IF(OR(D44&lt;'Check Rules'!$B$3,D44&gt;'Check Rules'!$B$4),"Age out of range","OK")))</f>
        <v>OK</v>
      </c>
    </row>
    <row r="45" spans="1:8" x14ac:dyDescent="0.25">
      <c r="A45" s="10" t="s">
        <v>147</v>
      </c>
      <c r="B45" s="10" t="s">
        <v>78</v>
      </c>
      <c r="C45" s="19">
        <v>46027</v>
      </c>
      <c r="D45" s="10">
        <v>23</v>
      </c>
      <c r="E45" s="10" t="s">
        <v>104</v>
      </c>
      <c r="F45" s="10" t="s">
        <v>68</v>
      </c>
      <c r="G45" s="10" t="s">
        <v>107</v>
      </c>
      <c r="H45" s="10" t="str">
        <f>IF(COUNTBLANK(A45:G45)&gt;0,"Missing field",IF(COUNTIF($A$2:$A$82,A45)&gt;1,"Duplicate subject ID",IF(OR(D45&lt;'Check Rules'!$B$3,D45&gt;'Check Rules'!$B$4),"Age out of range","OK")))</f>
        <v>OK</v>
      </c>
    </row>
    <row r="46" spans="1:8" x14ac:dyDescent="0.25">
      <c r="A46" s="10" t="s">
        <v>148</v>
      </c>
      <c r="B46" s="10" t="s">
        <v>77</v>
      </c>
      <c r="C46" s="19">
        <v>46057</v>
      </c>
      <c r="D46" s="10">
        <v>31</v>
      </c>
      <c r="E46" s="10" t="s">
        <v>101</v>
      </c>
      <c r="F46" s="10" t="s">
        <v>68</v>
      </c>
      <c r="G46" s="10" t="s">
        <v>102</v>
      </c>
      <c r="H46" s="10" t="str">
        <f>IF(COUNTBLANK(A46:G46)&gt;0,"Missing field",IF(COUNTIF($A$2:$A$82,A46)&gt;1,"Duplicate subject ID",IF(OR(D46&lt;'Check Rules'!$B$3,D46&gt;'Check Rules'!$B$4),"Age out of range","OK")))</f>
        <v>OK</v>
      </c>
    </row>
    <row r="47" spans="1:8" x14ac:dyDescent="0.25">
      <c r="A47" s="10" t="s">
        <v>149</v>
      </c>
      <c r="B47" s="10" t="s">
        <v>77</v>
      </c>
      <c r="C47" s="19">
        <v>46027</v>
      </c>
      <c r="D47" s="10">
        <v>42</v>
      </c>
      <c r="E47" s="10" t="s">
        <v>101</v>
      </c>
      <c r="F47" s="10" t="s">
        <v>67</v>
      </c>
      <c r="G47" s="10" t="s">
        <v>107</v>
      </c>
      <c r="H47" s="10" t="str">
        <f>IF(COUNTBLANK(A47:G47)&gt;0,"Missing field",IF(COUNTIF($A$2:$A$82,A47)&gt;1,"Duplicate subject ID",IF(OR(D47&lt;'Check Rules'!$B$3,D47&gt;'Check Rules'!$B$4),"Age out of range","OK")))</f>
        <v>OK</v>
      </c>
    </row>
    <row r="48" spans="1:8" x14ac:dyDescent="0.25">
      <c r="A48" s="10" t="s">
        <v>150</v>
      </c>
      <c r="B48" s="10" t="s">
        <v>77</v>
      </c>
      <c r="C48" s="19">
        <v>46071</v>
      </c>
      <c r="D48" s="10">
        <v>64</v>
      </c>
      <c r="E48" s="10" t="s">
        <v>101</v>
      </c>
      <c r="F48" s="10" t="s">
        <v>68</v>
      </c>
      <c r="G48" s="10" t="s">
        <v>102</v>
      </c>
      <c r="H48" s="10" t="str">
        <f>IF(COUNTBLANK(A48:G48)&gt;0,"Missing field",IF(COUNTIF($A$2:$A$82,A48)&gt;1,"Duplicate subject ID",IF(OR(D48&lt;'Check Rules'!$B$3,D48&gt;'Check Rules'!$B$4),"Age out of range","OK")))</f>
        <v>OK</v>
      </c>
    </row>
    <row r="49" spans="1:8" x14ac:dyDescent="0.25">
      <c r="A49" s="10" t="s">
        <v>151</v>
      </c>
      <c r="B49" s="10" t="s">
        <v>76</v>
      </c>
      <c r="C49" s="19">
        <v>46040</v>
      </c>
      <c r="D49" s="10">
        <v>21</v>
      </c>
      <c r="E49" s="10" t="s">
        <v>104</v>
      </c>
      <c r="F49" s="10" t="s">
        <v>67</v>
      </c>
      <c r="G49" s="10" t="s">
        <v>102</v>
      </c>
      <c r="H49" s="10" t="str">
        <f>IF(COUNTBLANK(A49:G49)&gt;0,"Missing field",IF(COUNTIF($A$2:$A$82,A49)&gt;1,"Duplicate subject ID",IF(OR(D49&lt;'Check Rules'!$B$3,D49&gt;'Check Rules'!$B$4),"Age out of range","OK")))</f>
        <v>OK</v>
      </c>
    </row>
    <row r="50" spans="1:8" x14ac:dyDescent="0.25">
      <c r="A50" s="10" t="s">
        <v>152</v>
      </c>
      <c r="B50" s="10" t="s">
        <v>74</v>
      </c>
      <c r="C50" s="19">
        <v>46064</v>
      </c>
      <c r="D50" s="10">
        <v>48</v>
      </c>
      <c r="E50" s="10" t="s">
        <v>104</v>
      </c>
      <c r="F50" s="10" t="s">
        <v>68</v>
      </c>
      <c r="G50" s="10" t="s">
        <v>61</v>
      </c>
      <c r="H50" s="10" t="str">
        <f>IF(COUNTBLANK(A50:G50)&gt;0,"Missing field",IF(COUNTIF($A$2:$A$82,A50)&gt;1,"Duplicate subject ID",IF(OR(D50&lt;'Check Rules'!$B$3,D50&gt;'Check Rules'!$B$4),"Age out of range","OK")))</f>
        <v>OK</v>
      </c>
    </row>
    <row r="51" spans="1:8" x14ac:dyDescent="0.25">
      <c r="A51" s="10" t="s">
        <v>153</v>
      </c>
      <c r="B51" s="10" t="s">
        <v>74</v>
      </c>
      <c r="C51" s="19">
        <v>46038</v>
      </c>
      <c r="D51" s="10">
        <v>22</v>
      </c>
      <c r="E51" s="10" t="s">
        <v>104</v>
      </c>
      <c r="F51" s="10" t="s">
        <v>68</v>
      </c>
      <c r="G51" s="10" t="s">
        <v>107</v>
      </c>
      <c r="H51" s="10" t="str">
        <f>IF(COUNTBLANK(A51:G51)&gt;0,"Missing field",IF(COUNTIF($A$2:$A$82,A51)&gt;1,"Duplicate subject ID",IF(OR(D51&lt;'Check Rules'!$B$3,D51&gt;'Check Rules'!$B$4),"Age out of range","OK")))</f>
        <v>OK</v>
      </c>
    </row>
    <row r="52" spans="1:8" x14ac:dyDescent="0.25">
      <c r="A52" s="10" t="s">
        <v>154</v>
      </c>
      <c r="B52" s="10" t="s">
        <v>74</v>
      </c>
      <c r="C52" s="19">
        <v>46063</v>
      </c>
      <c r="D52" s="10">
        <v>33</v>
      </c>
      <c r="E52" s="10" t="s">
        <v>104</v>
      </c>
      <c r="F52" s="10" t="s">
        <v>68</v>
      </c>
      <c r="G52" s="10" t="s">
        <v>107</v>
      </c>
      <c r="H52" s="10" t="str">
        <f>IF(COUNTBLANK(A52:G52)&gt;0,"Missing field",IF(COUNTIF($A$2:$A$82,A52)&gt;1,"Duplicate subject ID",IF(OR(D52&lt;'Check Rules'!$B$3,D52&gt;'Check Rules'!$B$4),"Age out of range","OK")))</f>
        <v>OK</v>
      </c>
    </row>
    <row r="53" spans="1:8" x14ac:dyDescent="0.25">
      <c r="A53" s="10" t="s">
        <v>155</v>
      </c>
      <c r="B53" s="10" t="s">
        <v>78</v>
      </c>
      <c r="C53" s="19">
        <v>46063</v>
      </c>
      <c r="D53" s="10">
        <v>51</v>
      </c>
      <c r="E53" s="10"/>
      <c r="F53" s="10" t="s">
        <v>67</v>
      </c>
      <c r="G53" s="10" t="s">
        <v>102</v>
      </c>
      <c r="H53" s="10" t="str">
        <f>IF(COUNTBLANK(A53:G53)&gt;0,"Missing field",IF(COUNTIF($A$2:$A$82,A53)&gt;1,"Duplicate subject ID",IF(OR(D53&lt;'Check Rules'!$B$3,D53&gt;'Check Rules'!$B$4),"Age out of range","OK")))</f>
        <v>Missing field</v>
      </c>
    </row>
    <row r="54" spans="1:8" x14ac:dyDescent="0.25">
      <c r="A54" s="10" t="s">
        <v>156</v>
      </c>
      <c r="B54" s="10" t="s">
        <v>76</v>
      </c>
      <c r="C54" s="19">
        <v>46042</v>
      </c>
      <c r="D54" s="10">
        <v>34</v>
      </c>
      <c r="E54" s="10" t="s">
        <v>101</v>
      </c>
      <c r="F54" s="10" t="s">
        <v>68</v>
      </c>
      <c r="G54" s="10" t="s">
        <v>61</v>
      </c>
      <c r="H54" s="10" t="str">
        <f>IF(COUNTBLANK(A54:G54)&gt;0,"Missing field",IF(COUNTIF($A$2:$A$82,A54)&gt;1,"Duplicate subject ID",IF(OR(D54&lt;'Check Rules'!$B$3,D54&gt;'Check Rules'!$B$4),"Age out of range","OK")))</f>
        <v>OK</v>
      </c>
    </row>
    <row r="55" spans="1:8" x14ac:dyDescent="0.25">
      <c r="A55" s="10" t="s">
        <v>157</v>
      </c>
      <c r="B55" s="10" t="s">
        <v>76</v>
      </c>
      <c r="C55" s="19">
        <v>46056</v>
      </c>
      <c r="D55" s="10">
        <v>38</v>
      </c>
      <c r="E55" s="10" t="s">
        <v>104</v>
      </c>
      <c r="F55" s="10" t="s">
        <v>68</v>
      </c>
      <c r="G55" s="10" t="s">
        <v>107</v>
      </c>
      <c r="H55" s="10" t="str">
        <f>IF(COUNTBLANK(A55:G55)&gt;0,"Missing field",IF(COUNTIF($A$2:$A$82,A55)&gt;1,"Duplicate subject ID",IF(OR(D55&lt;'Check Rules'!$B$3,D55&gt;'Check Rules'!$B$4),"Age out of range","OK")))</f>
        <v>OK</v>
      </c>
    </row>
    <row r="56" spans="1:8" x14ac:dyDescent="0.25">
      <c r="A56" s="10" t="s">
        <v>158</v>
      </c>
      <c r="B56" s="10" t="s">
        <v>78</v>
      </c>
      <c r="C56" s="19">
        <v>46063</v>
      </c>
      <c r="D56" s="10">
        <v>24</v>
      </c>
      <c r="E56" s="10" t="s">
        <v>104</v>
      </c>
      <c r="F56" s="10" t="s">
        <v>68</v>
      </c>
      <c r="G56" s="10" t="s">
        <v>61</v>
      </c>
      <c r="H56" s="10" t="str">
        <f>IF(COUNTBLANK(A56:G56)&gt;0,"Missing field",IF(COUNTIF($A$2:$A$82,A56)&gt;1,"Duplicate subject ID",IF(OR(D56&lt;'Check Rules'!$B$3,D56&gt;'Check Rules'!$B$4),"Age out of range","OK")))</f>
        <v>OK</v>
      </c>
    </row>
    <row r="57" spans="1:8" x14ac:dyDescent="0.25">
      <c r="A57" s="10" t="s">
        <v>159</v>
      </c>
      <c r="B57" s="10" t="s">
        <v>76</v>
      </c>
      <c r="C57" s="19">
        <v>46035</v>
      </c>
      <c r="D57" s="10">
        <v>77</v>
      </c>
      <c r="E57" s="10" t="s">
        <v>101</v>
      </c>
      <c r="F57" s="10" t="s">
        <v>68</v>
      </c>
      <c r="G57" s="10" t="s">
        <v>102</v>
      </c>
      <c r="H57" s="10" t="str">
        <f>IF(COUNTBLANK(A57:G57)&gt;0,"Missing field",IF(COUNTIF($A$2:$A$82,A57)&gt;1,"Duplicate subject ID",IF(OR(D57&lt;'Check Rules'!$B$3,D57&gt;'Check Rules'!$B$4),"Age out of range","OK")))</f>
        <v>OK</v>
      </c>
    </row>
    <row r="58" spans="1:8" x14ac:dyDescent="0.25">
      <c r="A58" s="10" t="s">
        <v>160</v>
      </c>
      <c r="B58" s="10" t="s">
        <v>76</v>
      </c>
      <c r="C58" s="19">
        <v>46045</v>
      </c>
      <c r="D58" s="10">
        <v>28</v>
      </c>
      <c r="E58" s="10" t="s">
        <v>101</v>
      </c>
      <c r="F58" s="10" t="s">
        <v>67</v>
      </c>
      <c r="G58" s="10" t="s">
        <v>61</v>
      </c>
      <c r="H58" s="10" t="str">
        <f>IF(COUNTBLANK(A58:G58)&gt;0,"Missing field",IF(COUNTIF($A$2:$A$82,A58)&gt;1,"Duplicate subject ID",IF(OR(D58&lt;'Check Rules'!$B$3,D58&gt;'Check Rules'!$B$4),"Age out of range","OK")))</f>
        <v>OK</v>
      </c>
    </row>
    <row r="59" spans="1:8" x14ac:dyDescent="0.25">
      <c r="A59" s="10" t="s">
        <v>161</v>
      </c>
      <c r="B59" s="10" t="s">
        <v>78</v>
      </c>
      <c r="C59" s="19">
        <v>46027</v>
      </c>
      <c r="D59" s="10">
        <v>60</v>
      </c>
      <c r="E59" s="10" t="s">
        <v>101</v>
      </c>
      <c r="F59" s="10" t="s">
        <v>68</v>
      </c>
      <c r="G59" s="10" t="s">
        <v>102</v>
      </c>
      <c r="H59" s="10" t="str">
        <f>IF(COUNTBLANK(A59:G59)&gt;0,"Missing field",IF(COUNTIF($A$2:$A$82,A59)&gt;1,"Duplicate subject ID",IF(OR(D59&lt;'Check Rules'!$B$3,D59&gt;'Check Rules'!$B$4),"Age out of range","OK")))</f>
        <v>OK</v>
      </c>
    </row>
    <row r="60" spans="1:8" x14ac:dyDescent="0.25">
      <c r="A60" s="10" t="s">
        <v>162</v>
      </c>
      <c r="B60" s="10" t="s">
        <v>76</v>
      </c>
      <c r="C60" s="19">
        <v>46034</v>
      </c>
      <c r="D60" s="10">
        <v>74</v>
      </c>
      <c r="E60" s="10" t="s">
        <v>104</v>
      </c>
      <c r="F60" s="10" t="s">
        <v>68</v>
      </c>
      <c r="G60" s="10" t="s">
        <v>107</v>
      </c>
      <c r="H60" s="10" t="str">
        <f>IF(COUNTBLANK(A60:G60)&gt;0,"Missing field",IF(COUNTIF($A$2:$A$82,A60)&gt;1,"Duplicate subject ID",IF(OR(D60&lt;'Check Rules'!$B$3,D60&gt;'Check Rules'!$B$4),"Age out of range","OK")))</f>
        <v>OK</v>
      </c>
    </row>
    <row r="61" spans="1:8" x14ac:dyDescent="0.25">
      <c r="A61" s="10" t="s">
        <v>163</v>
      </c>
      <c r="B61" s="10" t="s">
        <v>76</v>
      </c>
      <c r="C61" s="19">
        <v>46065</v>
      </c>
      <c r="D61" s="10">
        <v>31</v>
      </c>
      <c r="E61" s="10" t="s">
        <v>101</v>
      </c>
      <c r="F61" s="10" t="s">
        <v>68</v>
      </c>
      <c r="G61" s="10" t="s">
        <v>61</v>
      </c>
      <c r="H61" s="10" t="str">
        <f>IF(COUNTBLANK(A61:G61)&gt;0,"Missing field",IF(COUNTIF($A$2:$A$82,A61)&gt;1,"Duplicate subject ID",IF(OR(D61&lt;'Check Rules'!$B$3,D61&gt;'Check Rules'!$B$4),"Age out of range","OK")))</f>
        <v>OK</v>
      </c>
    </row>
    <row r="62" spans="1:8" x14ac:dyDescent="0.25">
      <c r="A62" s="10" t="s">
        <v>164</v>
      </c>
      <c r="B62" s="10" t="s">
        <v>76</v>
      </c>
      <c r="C62" s="19">
        <v>46059</v>
      </c>
      <c r="D62" s="10">
        <v>49</v>
      </c>
      <c r="E62" s="10" t="s">
        <v>101</v>
      </c>
      <c r="F62" s="10" t="s">
        <v>68</v>
      </c>
      <c r="G62" s="10" t="s">
        <v>102</v>
      </c>
      <c r="H62" s="10" t="str">
        <f>IF(COUNTBLANK(A62:G62)&gt;0,"Missing field",IF(COUNTIF($A$2:$A$82,A62)&gt;1,"Duplicate subject ID",IF(OR(D62&lt;'Check Rules'!$B$3,D62&gt;'Check Rules'!$B$4),"Age out of range","OK")))</f>
        <v>OK</v>
      </c>
    </row>
    <row r="63" spans="1:8" x14ac:dyDescent="0.25">
      <c r="A63" s="10" t="s">
        <v>165</v>
      </c>
      <c r="B63" s="10" t="s">
        <v>77</v>
      </c>
      <c r="C63" s="19">
        <v>46044</v>
      </c>
      <c r="D63" s="10">
        <v>20</v>
      </c>
      <c r="E63" s="10" t="s">
        <v>104</v>
      </c>
      <c r="F63" s="10" t="s">
        <v>67</v>
      </c>
      <c r="G63" s="10" t="s">
        <v>102</v>
      </c>
      <c r="H63" s="10" t="str">
        <f>IF(COUNTBLANK(A63:G63)&gt;0,"Missing field",IF(COUNTIF($A$2:$A$82,A63)&gt;1,"Duplicate subject ID",IF(OR(D63&lt;'Check Rules'!$B$3,D63&gt;'Check Rules'!$B$4),"Age out of range","OK")))</f>
        <v>OK</v>
      </c>
    </row>
    <row r="64" spans="1:8" x14ac:dyDescent="0.25">
      <c r="A64" s="10" t="s">
        <v>166</v>
      </c>
      <c r="B64" s="10" t="s">
        <v>76</v>
      </c>
      <c r="C64" s="19">
        <v>46037</v>
      </c>
      <c r="D64" s="10">
        <v>65</v>
      </c>
      <c r="E64" s="10" t="s">
        <v>101</v>
      </c>
      <c r="F64" s="10" t="s">
        <v>67</v>
      </c>
      <c r="G64" s="10" t="s">
        <v>61</v>
      </c>
      <c r="H64" s="10" t="str">
        <f>IF(COUNTBLANK(A64:G64)&gt;0,"Missing field",IF(COUNTIF($A$2:$A$82,A64)&gt;1,"Duplicate subject ID",IF(OR(D64&lt;'Check Rules'!$B$3,D64&gt;'Check Rules'!$B$4),"Age out of range","OK")))</f>
        <v>OK</v>
      </c>
    </row>
    <row r="65" spans="1:8" x14ac:dyDescent="0.25">
      <c r="A65" s="10" t="s">
        <v>167</v>
      </c>
      <c r="B65" s="10" t="s">
        <v>74</v>
      </c>
      <c r="C65" s="19">
        <v>46034</v>
      </c>
      <c r="D65" s="10">
        <v>22</v>
      </c>
      <c r="E65" s="10" t="s">
        <v>104</v>
      </c>
      <c r="F65" s="10" t="s">
        <v>68</v>
      </c>
      <c r="G65" s="10" t="s">
        <v>107</v>
      </c>
      <c r="H65" s="10" t="str">
        <f>IF(COUNTBLANK(A65:G65)&gt;0,"Missing field",IF(COUNTIF($A$2:$A$82,A65)&gt;1,"Duplicate subject ID",IF(OR(D65&lt;'Check Rules'!$B$3,D65&gt;'Check Rules'!$B$4),"Age out of range","OK")))</f>
        <v>OK</v>
      </c>
    </row>
    <row r="66" spans="1:8" x14ac:dyDescent="0.25">
      <c r="A66" s="10" t="s">
        <v>168</v>
      </c>
      <c r="B66" s="10" t="s">
        <v>78</v>
      </c>
      <c r="C66" s="19">
        <v>46062</v>
      </c>
      <c r="D66" s="10">
        <v>27</v>
      </c>
      <c r="E66" s="10" t="s">
        <v>101</v>
      </c>
      <c r="F66" s="10" t="s">
        <v>68</v>
      </c>
      <c r="G66" s="10" t="s">
        <v>102</v>
      </c>
      <c r="H66" s="10" t="str">
        <f>IF(COUNTBLANK(A66:G66)&gt;0,"Missing field",IF(COUNTIF($A$2:$A$82,A66)&gt;1,"Duplicate subject ID",IF(OR(D66&lt;'Check Rules'!$B$3,D66&gt;'Check Rules'!$B$4),"Age out of range","OK")))</f>
        <v>OK</v>
      </c>
    </row>
    <row r="67" spans="1:8" x14ac:dyDescent="0.25">
      <c r="A67" s="10" t="s">
        <v>169</v>
      </c>
      <c r="B67" s="10" t="s">
        <v>76</v>
      </c>
      <c r="C67" s="19">
        <v>46050</v>
      </c>
      <c r="D67" s="10">
        <v>75</v>
      </c>
      <c r="E67" s="10" t="s">
        <v>104</v>
      </c>
      <c r="F67" s="10"/>
      <c r="G67" s="10" t="s">
        <v>102</v>
      </c>
      <c r="H67" s="10" t="str">
        <f>IF(COUNTBLANK(A67:G67)&gt;0,"Missing field",IF(COUNTIF($A$2:$A$82,A67)&gt;1,"Duplicate subject ID",IF(OR(D67&lt;'Check Rules'!$B$3,D67&gt;'Check Rules'!$B$4),"Age out of range","OK")))</f>
        <v>Missing field</v>
      </c>
    </row>
    <row r="68" spans="1:8" x14ac:dyDescent="0.25">
      <c r="A68" s="10" t="s">
        <v>170</v>
      </c>
      <c r="B68" s="10" t="s">
        <v>75</v>
      </c>
      <c r="C68" s="19">
        <v>46069</v>
      </c>
      <c r="D68" s="10">
        <v>24</v>
      </c>
      <c r="E68" s="10" t="s">
        <v>101</v>
      </c>
      <c r="F68" s="10" t="s">
        <v>67</v>
      </c>
      <c r="G68" s="10" t="s">
        <v>61</v>
      </c>
      <c r="H68" s="10" t="str">
        <f>IF(COUNTBLANK(A68:G68)&gt;0,"Missing field",IF(COUNTIF($A$2:$A$82,A68)&gt;1,"Duplicate subject ID",IF(OR(D68&lt;'Check Rules'!$B$3,D68&gt;'Check Rules'!$B$4),"Age out of range","OK")))</f>
        <v>OK</v>
      </c>
    </row>
    <row r="69" spans="1:8" x14ac:dyDescent="0.25">
      <c r="A69" s="10" t="s">
        <v>171</v>
      </c>
      <c r="B69" s="10" t="s">
        <v>75</v>
      </c>
      <c r="C69" s="19">
        <v>46042</v>
      </c>
      <c r="D69" s="10">
        <v>73</v>
      </c>
      <c r="E69" s="10" t="s">
        <v>104</v>
      </c>
      <c r="F69" s="10" t="s">
        <v>68</v>
      </c>
      <c r="G69" s="10" t="s">
        <v>107</v>
      </c>
      <c r="H69" s="10" t="str">
        <f>IF(COUNTBLANK(A69:G69)&gt;0,"Missing field",IF(COUNTIF($A$2:$A$82,A69)&gt;1,"Duplicate subject ID",IF(OR(D69&lt;'Check Rules'!$B$3,D69&gt;'Check Rules'!$B$4),"Age out of range","OK")))</f>
        <v>OK</v>
      </c>
    </row>
    <row r="70" spans="1:8" x14ac:dyDescent="0.25">
      <c r="A70" s="10" t="s">
        <v>172</v>
      </c>
      <c r="B70" s="10" t="s">
        <v>74</v>
      </c>
      <c r="C70" s="19">
        <v>46038</v>
      </c>
      <c r="D70" s="10">
        <v>65</v>
      </c>
      <c r="E70" s="10" t="s">
        <v>101</v>
      </c>
      <c r="F70" s="10" t="s">
        <v>67</v>
      </c>
      <c r="G70" s="10" t="s">
        <v>61</v>
      </c>
      <c r="H70" s="10" t="str">
        <f>IF(COUNTBLANK(A70:G70)&gt;0,"Missing field",IF(COUNTIF($A$2:$A$82,A70)&gt;1,"Duplicate subject ID",IF(OR(D70&lt;'Check Rules'!$B$3,D70&gt;'Check Rules'!$B$4),"Age out of range","OK")))</f>
        <v>OK</v>
      </c>
    </row>
    <row r="71" spans="1:8" x14ac:dyDescent="0.25">
      <c r="A71" s="10" t="s">
        <v>173</v>
      </c>
      <c r="B71" s="10" t="s">
        <v>75</v>
      </c>
      <c r="C71" s="19">
        <v>46044</v>
      </c>
      <c r="D71" s="10">
        <v>28</v>
      </c>
      <c r="E71" s="10" t="s">
        <v>104</v>
      </c>
      <c r="F71" s="10" t="s">
        <v>67</v>
      </c>
      <c r="G71" s="10" t="s">
        <v>102</v>
      </c>
      <c r="H71" s="10" t="str">
        <f>IF(COUNTBLANK(A71:G71)&gt;0,"Missing field",IF(COUNTIF($A$2:$A$82,A71)&gt;1,"Duplicate subject ID",IF(OR(D71&lt;'Check Rules'!$B$3,D71&gt;'Check Rules'!$B$4),"Age out of range","OK")))</f>
        <v>OK</v>
      </c>
    </row>
    <row r="72" spans="1:8" x14ac:dyDescent="0.25">
      <c r="A72" s="10" t="s">
        <v>174</v>
      </c>
      <c r="B72" s="10" t="s">
        <v>77</v>
      </c>
      <c r="C72" s="19">
        <v>46041</v>
      </c>
      <c r="D72" s="10">
        <v>30</v>
      </c>
      <c r="E72" s="10" t="s">
        <v>101</v>
      </c>
      <c r="F72" s="10" t="s">
        <v>67</v>
      </c>
      <c r="G72" s="10" t="s">
        <v>107</v>
      </c>
      <c r="H72" s="10" t="str">
        <f>IF(COUNTBLANK(A72:G72)&gt;0,"Missing field",IF(COUNTIF($A$2:$A$82,A72)&gt;1,"Duplicate subject ID",IF(OR(D72&lt;'Check Rules'!$B$3,D72&gt;'Check Rules'!$B$4),"Age out of range","OK")))</f>
        <v>OK</v>
      </c>
    </row>
    <row r="73" spans="1:8" x14ac:dyDescent="0.25">
      <c r="A73" s="10" t="s">
        <v>175</v>
      </c>
      <c r="B73" s="10" t="s">
        <v>75</v>
      </c>
      <c r="C73" s="19">
        <v>46041</v>
      </c>
      <c r="D73" s="10">
        <v>19</v>
      </c>
      <c r="E73" s="10" t="s">
        <v>104</v>
      </c>
      <c r="F73" s="10" t="s">
        <v>67</v>
      </c>
      <c r="G73" s="10" t="s">
        <v>107</v>
      </c>
      <c r="H73" s="10" t="str">
        <f>IF(COUNTBLANK(A73:G73)&gt;0,"Missing field",IF(COUNTIF($A$2:$A$82,A73)&gt;1,"Duplicate subject ID",IF(OR(D73&lt;'Check Rules'!$B$3,D73&gt;'Check Rules'!$B$4),"Age out of range","OK")))</f>
        <v>OK</v>
      </c>
    </row>
    <row r="74" spans="1:8" x14ac:dyDescent="0.25">
      <c r="A74" s="10" t="s">
        <v>176</v>
      </c>
      <c r="B74" s="10" t="s">
        <v>76</v>
      </c>
      <c r="C74" s="19">
        <v>46031</v>
      </c>
      <c r="D74" s="10">
        <v>91</v>
      </c>
      <c r="E74" s="10" t="s">
        <v>101</v>
      </c>
      <c r="F74" s="10" t="s">
        <v>67</v>
      </c>
      <c r="G74" s="10" t="s">
        <v>61</v>
      </c>
      <c r="H74" s="10" t="str">
        <f>IF(COUNTBLANK(A74:G74)&gt;0,"Missing field",IF(COUNTIF($A$2:$A$82,A74)&gt;1,"Duplicate subject ID",IF(OR(D74&lt;'Check Rules'!$B$3,D74&gt;'Check Rules'!$B$4),"Age out of range","OK")))</f>
        <v>Age out of range</v>
      </c>
    </row>
    <row r="75" spans="1:8" x14ac:dyDescent="0.25">
      <c r="A75" s="10" t="s">
        <v>177</v>
      </c>
      <c r="B75" s="10" t="s">
        <v>78</v>
      </c>
      <c r="C75" s="19">
        <v>46052</v>
      </c>
      <c r="D75" s="10">
        <v>61</v>
      </c>
      <c r="E75" s="10" t="s">
        <v>101</v>
      </c>
      <c r="F75" s="10" t="s">
        <v>68</v>
      </c>
      <c r="G75" s="10" t="s">
        <v>102</v>
      </c>
      <c r="H75" s="10" t="str">
        <f>IF(COUNTBLANK(A75:G75)&gt;0,"Missing field",IF(COUNTIF($A$2:$A$82,A75)&gt;1,"Duplicate subject ID",IF(OR(D75&lt;'Check Rules'!$B$3,D75&gt;'Check Rules'!$B$4),"Age out of range","OK")))</f>
        <v>OK</v>
      </c>
    </row>
    <row r="76" spans="1:8" x14ac:dyDescent="0.25">
      <c r="A76" s="10" t="s">
        <v>178</v>
      </c>
      <c r="B76" s="10" t="s">
        <v>76</v>
      </c>
      <c r="C76" s="19">
        <v>46038</v>
      </c>
      <c r="D76" s="10">
        <v>55</v>
      </c>
      <c r="E76" s="10" t="s">
        <v>101</v>
      </c>
      <c r="F76" s="10" t="s">
        <v>68</v>
      </c>
      <c r="G76" s="10" t="s">
        <v>102</v>
      </c>
      <c r="H76" s="10" t="str">
        <f>IF(COUNTBLANK(A76:G76)&gt;0,"Missing field",IF(COUNTIF($A$2:$A$82,A76)&gt;1,"Duplicate subject ID",IF(OR(D76&lt;'Check Rules'!$B$3,D76&gt;'Check Rules'!$B$4),"Age out of range","OK")))</f>
        <v>OK</v>
      </c>
    </row>
    <row r="77" spans="1:8" x14ac:dyDescent="0.25">
      <c r="A77" s="10" t="s">
        <v>179</v>
      </c>
      <c r="B77" s="10" t="s">
        <v>78</v>
      </c>
      <c r="C77" s="19">
        <v>46054</v>
      </c>
      <c r="D77" s="10">
        <v>40</v>
      </c>
      <c r="E77" s="10" t="s">
        <v>101</v>
      </c>
      <c r="F77" s="10" t="s">
        <v>67</v>
      </c>
      <c r="G77" s="10" t="s">
        <v>61</v>
      </c>
      <c r="H77" s="10" t="str">
        <f>IF(COUNTBLANK(A77:G77)&gt;0,"Missing field",IF(COUNTIF($A$2:$A$82,A77)&gt;1,"Duplicate subject ID",IF(OR(D77&lt;'Check Rules'!$B$3,D77&gt;'Check Rules'!$B$4),"Age out of range","OK")))</f>
        <v>OK</v>
      </c>
    </row>
    <row r="78" spans="1:8" x14ac:dyDescent="0.25">
      <c r="A78" s="10" t="s">
        <v>180</v>
      </c>
      <c r="B78" s="10" t="s">
        <v>78</v>
      </c>
      <c r="C78" s="19">
        <v>46034</v>
      </c>
      <c r="D78" s="10">
        <v>42</v>
      </c>
      <c r="E78" s="10" t="s">
        <v>104</v>
      </c>
      <c r="F78" s="10" t="s">
        <v>67</v>
      </c>
      <c r="G78" s="10" t="s">
        <v>102</v>
      </c>
      <c r="H78" s="10" t="str">
        <f>IF(COUNTBLANK(A78:G78)&gt;0,"Missing field",IF(COUNTIF($A$2:$A$82,A78)&gt;1,"Duplicate subject ID",IF(OR(D78&lt;'Check Rules'!$B$3,D78&gt;'Check Rules'!$B$4),"Age out of range","OK")))</f>
        <v>OK</v>
      </c>
    </row>
    <row r="79" spans="1:8" x14ac:dyDescent="0.25">
      <c r="A79" s="10" t="s">
        <v>181</v>
      </c>
      <c r="B79" s="10" t="s">
        <v>77</v>
      </c>
      <c r="C79" s="19">
        <v>46027</v>
      </c>
      <c r="D79" s="10">
        <v>51</v>
      </c>
      <c r="E79" s="10" t="s">
        <v>104</v>
      </c>
      <c r="F79" s="10" t="s">
        <v>67</v>
      </c>
      <c r="G79" s="10" t="s">
        <v>107</v>
      </c>
      <c r="H79" s="10" t="str">
        <f>IF(COUNTBLANK(A79:G79)&gt;0,"Missing field",IF(COUNTIF($A$2:$A$82,A79)&gt;1,"Duplicate subject ID",IF(OR(D79&lt;'Check Rules'!$B$3,D79&gt;'Check Rules'!$B$4),"Age out of range","OK")))</f>
        <v>OK</v>
      </c>
    </row>
    <row r="80" spans="1:8" x14ac:dyDescent="0.25">
      <c r="A80" s="10" t="s">
        <v>182</v>
      </c>
      <c r="B80" s="10" t="s">
        <v>74</v>
      </c>
      <c r="C80" s="19">
        <v>46069</v>
      </c>
      <c r="D80" s="10">
        <v>76</v>
      </c>
      <c r="E80" s="10" t="s">
        <v>101</v>
      </c>
      <c r="F80" s="10" t="s">
        <v>67</v>
      </c>
      <c r="G80" s="10" t="s">
        <v>61</v>
      </c>
      <c r="H80" s="10" t="str">
        <f>IF(COUNTBLANK(A80:G80)&gt;0,"Missing field",IF(COUNTIF($A$2:$A$82,A80)&gt;1,"Duplicate subject ID",IF(OR(D80&lt;'Check Rules'!$B$3,D80&gt;'Check Rules'!$B$4),"Age out of range","OK")))</f>
        <v>OK</v>
      </c>
    </row>
    <row r="81" spans="1:8" x14ac:dyDescent="0.25">
      <c r="A81" s="10" t="s">
        <v>183</v>
      </c>
      <c r="B81" s="10" t="s">
        <v>74</v>
      </c>
      <c r="C81" s="19">
        <v>46073</v>
      </c>
      <c r="D81" s="10">
        <v>75</v>
      </c>
      <c r="E81" s="10" t="s">
        <v>101</v>
      </c>
      <c r="F81" s="10" t="s">
        <v>67</v>
      </c>
      <c r="G81" s="10" t="s">
        <v>61</v>
      </c>
      <c r="H81" s="10" t="str">
        <f>IF(COUNTBLANK(A81:G81)&gt;0,"Missing field",IF(COUNTIF($A$2:$A$82,A81)&gt;1,"Duplicate subject ID",IF(OR(D81&lt;'Check Rules'!$B$3,D81&gt;'Check Rules'!$B$4),"Age out of range","OK")))</f>
        <v>OK</v>
      </c>
    </row>
    <row r="82" spans="1:8" x14ac:dyDescent="0.25">
      <c r="A82" s="10" t="s">
        <v>114</v>
      </c>
      <c r="B82" s="10" t="s">
        <v>74</v>
      </c>
      <c r="C82" s="19">
        <v>46041</v>
      </c>
      <c r="D82" s="10">
        <v>73</v>
      </c>
      <c r="E82" s="10" t="s">
        <v>104</v>
      </c>
      <c r="F82" s="10" t="s">
        <v>67</v>
      </c>
      <c r="G82" s="10" t="s">
        <v>107</v>
      </c>
      <c r="H82" s="10" t="str">
        <f>IF(COUNTBLANK(A82:G82)&gt;0,"Missing field",IF(COUNTIF($A$2:$A$82,A82)&gt;1,"Duplicate subject ID",IF(OR(D82&lt;'Check Rules'!$B$3,D82&gt;'Check Rules'!$B$4),"Age out of range","OK")))</f>
        <v>Duplicate subject ID</v>
      </c>
    </row>
  </sheetData>
  <autoFilter ref="A1:H82" xr:uid="{00000000-0009-0000-0000-000002000000}"/>
  <conditionalFormatting sqref="H2:H82">
    <cfRule type="expression" dxfId="8" priority="2">
      <formula>H2&lt;&gt;"OK"</formula>
    </cfRule>
    <cfRule type="expression" dxfId="7" priority="3">
      <formula>H2="OK"</formula>
    </cfRule>
  </conditionalFormatting>
  <dataValidations count="1">
    <dataValidation type="list" allowBlank="1" sqref="G2:G82" xr:uid="{00000000-0002-0000-0200-000000000000}">
      <formula1>"Completed,Ongoing,Withdrawn"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93"/>
  <sheetViews>
    <sheetView zoomScaleNormal="100" workbookViewId="0">
      <pane ySplit="1" topLeftCell="A26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2" customWidth="1"/>
    <col min="3" max="3" width="14" customWidth="1"/>
    <col min="4" max="4" width="13" customWidth="1"/>
    <col min="5" max="5" width="11" customWidth="1"/>
    <col min="6" max="6" width="12" customWidth="1"/>
    <col min="7" max="7" width="13" customWidth="1"/>
    <col min="8" max="8" width="14" customWidth="1"/>
    <col min="9" max="9" width="26" customWidth="1"/>
  </cols>
  <sheetData>
    <row r="1" spans="1:9" ht="31.5" customHeight="1" x14ac:dyDescent="0.25">
      <c r="A1" s="18" t="s">
        <v>92</v>
      </c>
      <c r="B1" s="18" t="s">
        <v>93</v>
      </c>
      <c r="C1" s="18" t="s">
        <v>184</v>
      </c>
      <c r="D1" s="18" t="s">
        <v>185</v>
      </c>
      <c r="E1" s="18" t="s">
        <v>186</v>
      </c>
      <c r="F1" s="18" t="s">
        <v>187</v>
      </c>
      <c r="G1" s="18" t="s">
        <v>188</v>
      </c>
      <c r="H1" s="18" t="s">
        <v>189</v>
      </c>
      <c r="I1" s="18" t="s">
        <v>99</v>
      </c>
    </row>
    <row r="2" spans="1:9" x14ac:dyDescent="0.25">
      <c r="A2" s="10" t="s">
        <v>100</v>
      </c>
      <c r="B2" s="10" t="s">
        <v>74</v>
      </c>
      <c r="C2" s="10" t="s">
        <v>190</v>
      </c>
      <c r="D2" s="19">
        <v>46028</v>
      </c>
      <c r="E2" s="10">
        <v>71.900000000000006</v>
      </c>
      <c r="F2" s="10">
        <v>127</v>
      </c>
      <c r="G2" s="10">
        <v>81</v>
      </c>
      <c r="H2" s="10" t="s">
        <v>191</v>
      </c>
      <c r="I2" s="10" t="str">
        <f>IF(COUNTIF(Subjects!$A$2:$A$82,A2)=0,"Subject not in register",IF(D2&lt;INDEX(Subjects!$C$2:$C$82,MATCH(A2,Subjects!$A$2:$A$82,0)),"Visit before enrollment",IF(H2="Missed","Missed visit",IF(H2="Scheduled","OK",IF(E2="","Missing weight",IF(OR(E2&lt;'Check Rules'!$B$5,E2&gt;'Check Rules'!$B$6),"Weight out of range",IF(OR(F2&lt;'Check Rules'!$B$7,F2&gt;'Check Rules'!$B$8),"Systolic BP out of range",IF(OR(G2&lt;'Check Rules'!$B$9,G2&gt;'Check Rules'!$B$10),"Diastolic BP out of range",IF(G2&gt;=F2,"Diastolic &gt;= systolic","OK")))))))))</f>
        <v>OK</v>
      </c>
    </row>
    <row r="3" spans="1:9" x14ac:dyDescent="0.25">
      <c r="A3" s="10" t="s">
        <v>100</v>
      </c>
      <c r="B3" s="10" t="s">
        <v>74</v>
      </c>
      <c r="C3" s="10" t="s">
        <v>192</v>
      </c>
      <c r="D3" s="19">
        <v>46030</v>
      </c>
      <c r="E3" s="10">
        <v>72.900000000000006</v>
      </c>
      <c r="F3" s="10">
        <v>130</v>
      </c>
      <c r="G3" s="10">
        <v>77</v>
      </c>
      <c r="H3" s="10" t="s">
        <v>191</v>
      </c>
      <c r="I3" s="10" t="str">
        <f>IF(COUNTIF(Subjects!$A$2:$A$82,A3)=0,"Subject not in register",IF(D3&lt;INDEX(Subjects!$C$2:$C$82,MATCH(A3,Subjects!$A$2:$A$82,0)),"Visit before enrollment",IF(H3="Missed","Missed visit",IF(H3="Scheduled","OK",IF(E3="","Missing weight",IF(OR(E3&lt;'Check Rules'!$B$5,E3&gt;'Check Rules'!$B$6),"Weight out of range",IF(OR(F3&lt;'Check Rules'!$B$7,F3&gt;'Check Rules'!$B$8),"Systolic BP out of range",IF(OR(G3&lt;'Check Rules'!$B$9,G3&gt;'Check Rules'!$B$10),"Diastolic BP out of range",IF(G3&gt;=F3,"Diastolic &gt;= systolic","OK")))))))))</f>
        <v>OK</v>
      </c>
    </row>
    <row r="4" spans="1:9" x14ac:dyDescent="0.25">
      <c r="A4" s="10" t="s">
        <v>100</v>
      </c>
      <c r="B4" s="10" t="s">
        <v>74</v>
      </c>
      <c r="C4" s="10" t="s">
        <v>193</v>
      </c>
      <c r="D4" s="19">
        <v>46058</v>
      </c>
      <c r="E4" s="10">
        <v>71.5</v>
      </c>
      <c r="F4" s="10">
        <v>129</v>
      </c>
      <c r="G4" s="10">
        <v>69</v>
      </c>
      <c r="H4" s="10" t="s">
        <v>191</v>
      </c>
      <c r="I4" s="10" t="str">
        <f>IF(COUNTIF(Subjects!$A$2:$A$82,A4)=0,"Subject not in register",IF(D4&lt;INDEX(Subjects!$C$2:$C$82,MATCH(A4,Subjects!$A$2:$A$82,0)),"Visit before enrollment",IF(H4="Missed","Missed visit",IF(H4="Scheduled","OK",IF(E4="","Missing weight",IF(OR(E4&lt;'Check Rules'!$B$5,E4&gt;'Check Rules'!$B$6),"Weight out of range",IF(OR(F4&lt;'Check Rules'!$B$7,F4&gt;'Check Rules'!$B$8),"Systolic BP out of range",IF(OR(G4&lt;'Check Rules'!$B$9,G4&gt;'Check Rules'!$B$10),"Diastolic BP out of range",IF(G4&gt;=F4,"Diastolic &gt;= systolic","OK")))))))))</f>
        <v>OK</v>
      </c>
    </row>
    <row r="5" spans="1:9" x14ac:dyDescent="0.25">
      <c r="A5" s="10" t="s">
        <v>100</v>
      </c>
      <c r="B5" s="10" t="s">
        <v>74</v>
      </c>
      <c r="C5" s="10" t="s">
        <v>194</v>
      </c>
      <c r="D5" s="19">
        <v>46086</v>
      </c>
      <c r="E5" s="10">
        <v>71.599999999999994</v>
      </c>
      <c r="F5" s="10">
        <v>117</v>
      </c>
      <c r="G5" s="10">
        <v>65</v>
      </c>
      <c r="H5" s="10" t="s">
        <v>191</v>
      </c>
      <c r="I5" s="10" t="str">
        <f>IF(COUNTIF(Subjects!$A$2:$A$82,A5)=0,"Subject not in register",IF(D5&lt;INDEX(Subjects!$C$2:$C$82,MATCH(A5,Subjects!$A$2:$A$82,0)),"Visit before enrollment",IF(H5="Missed","Missed visit",IF(H5="Scheduled","OK",IF(E5="","Missing weight",IF(OR(E5&lt;'Check Rules'!$B$5,E5&gt;'Check Rules'!$B$6),"Weight out of range",IF(OR(F5&lt;'Check Rules'!$B$7,F5&gt;'Check Rules'!$B$8),"Systolic BP out of range",IF(OR(G5&lt;'Check Rules'!$B$9,G5&gt;'Check Rules'!$B$10),"Diastolic BP out of range",IF(G5&gt;=F5,"Diastolic &gt;= systolic","OK")))))))))</f>
        <v>OK</v>
      </c>
    </row>
    <row r="6" spans="1:9" x14ac:dyDescent="0.25">
      <c r="A6" s="10" t="s">
        <v>100</v>
      </c>
      <c r="B6" s="10" t="s">
        <v>74</v>
      </c>
      <c r="C6" s="10" t="s">
        <v>195</v>
      </c>
      <c r="D6" s="19">
        <v>46114</v>
      </c>
      <c r="E6" s="10">
        <v>71.099999999999994</v>
      </c>
      <c r="F6" s="10">
        <v>137</v>
      </c>
      <c r="G6" s="10">
        <v>78</v>
      </c>
      <c r="H6" s="10" t="s">
        <v>191</v>
      </c>
      <c r="I6" s="10" t="str">
        <f>IF(COUNTIF(Subjects!$A$2:$A$82,A6)=0,"Subject not in register",IF(D6&lt;INDEX(Subjects!$C$2:$C$82,MATCH(A6,Subjects!$A$2:$A$82,0)),"Visit before enrollment",IF(H6="Missed","Missed visit",IF(H6="Scheduled","OK",IF(E6="","Missing weight",IF(OR(E6&lt;'Check Rules'!$B$5,E6&gt;'Check Rules'!$B$6),"Weight out of range",IF(OR(F6&lt;'Check Rules'!$B$7,F6&gt;'Check Rules'!$B$8),"Systolic BP out of range",IF(OR(G6&lt;'Check Rules'!$B$9,G6&gt;'Check Rules'!$B$10),"Diastolic BP out of range",IF(G6&gt;=F6,"Diastolic &gt;= systolic","OK")))))))))</f>
        <v>OK</v>
      </c>
    </row>
    <row r="7" spans="1:9" x14ac:dyDescent="0.25">
      <c r="A7" s="10" t="s">
        <v>103</v>
      </c>
      <c r="B7" s="10" t="s">
        <v>75</v>
      </c>
      <c r="C7" s="10" t="s">
        <v>190</v>
      </c>
      <c r="D7" s="19">
        <v>46074</v>
      </c>
      <c r="E7" s="10">
        <v>61.4</v>
      </c>
      <c r="F7" s="10">
        <v>115</v>
      </c>
      <c r="G7" s="10">
        <v>78</v>
      </c>
      <c r="H7" s="10" t="s">
        <v>191</v>
      </c>
      <c r="I7" s="10" t="str">
        <f>IF(COUNTIF(Subjects!$A$2:$A$82,A7)=0,"Subject not in register",IF(D7&lt;INDEX(Subjects!$C$2:$C$82,MATCH(A7,Subjects!$A$2:$A$82,0)),"Visit before enrollment",IF(H7="Missed","Missed visit",IF(H7="Scheduled","OK",IF(E7="","Missing weight",IF(OR(E7&lt;'Check Rules'!$B$5,E7&gt;'Check Rules'!$B$6),"Weight out of range",IF(OR(F7&lt;'Check Rules'!$B$7,F7&gt;'Check Rules'!$B$8),"Systolic BP out of range",IF(OR(G7&lt;'Check Rules'!$B$9,G7&gt;'Check Rules'!$B$10),"Diastolic BP out of range",IF(G7&gt;=F7,"Diastolic &gt;= systolic","OK")))))))))</f>
        <v>OK</v>
      </c>
    </row>
    <row r="8" spans="1:9" x14ac:dyDescent="0.25">
      <c r="A8" s="10" t="s">
        <v>103</v>
      </c>
      <c r="B8" s="10" t="s">
        <v>75</v>
      </c>
      <c r="C8" s="10" t="s">
        <v>192</v>
      </c>
      <c r="D8" s="19">
        <v>46076</v>
      </c>
      <c r="E8" s="10">
        <v>61.3</v>
      </c>
      <c r="F8" s="10">
        <v>121</v>
      </c>
      <c r="G8" s="10">
        <v>73</v>
      </c>
      <c r="H8" s="10" t="s">
        <v>191</v>
      </c>
      <c r="I8" s="10" t="str">
        <f>IF(COUNTIF(Subjects!$A$2:$A$82,A8)=0,"Subject not in register",IF(D8&lt;INDEX(Subjects!$C$2:$C$82,MATCH(A8,Subjects!$A$2:$A$82,0)),"Visit before enrollment",IF(H8="Missed","Missed visit",IF(H8="Scheduled","OK",IF(E8="","Missing weight",IF(OR(E8&lt;'Check Rules'!$B$5,E8&gt;'Check Rules'!$B$6),"Weight out of range",IF(OR(F8&lt;'Check Rules'!$B$7,F8&gt;'Check Rules'!$B$8),"Systolic BP out of range",IF(OR(G8&lt;'Check Rules'!$B$9,G8&gt;'Check Rules'!$B$10),"Diastolic BP out of range",IF(G8&gt;=F8,"Diastolic &gt;= systolic","OK")))))))))</f>
        <v>OK</v>
      </c>
    </row>
    <row r="9" spans="1:9" x14ac:dyDescent="0.25">
      <c r="A9" s="10" t="s">
        <v>103</v>
      </c>
      <c r="B9" s="10" t="s">
        <v>75</v>
      </c>
      <c r="C9" s="10" t="s">
        <v>193</v>
      </c>
      <c r="D9" s="19">
        <v>46104</v>
      </c>
      <c r="E9" s="10">
        <v>61.5</v>
      </c>
      <c r="F9" s="10">
        <v>126</v>
      </c>
      <c r="G9" s="10">
        <v>75</v>
      </c>
      <c r="H9" s="10" t="s">
        <v>191</v>
      </c>
      <c r="I9" s="10" t="str">
        <f>IF(COUNTIF(Subjects!$A$2:$A$82,A9)=0,"Subject not in register",IF(D9&lt;INDEX(Subjects!$C$2:$C$82,MATCH(A9,Subjects!$A$2:$A$82,0)),"Visit before enrollment",IF(H9="Missed","Missed visit",IF(H9="Scheduled","OK",IF(E9="","Missing weight",IF(OR(E9&lt;'Check Rules'!$B$5,E9&gt;'Check Rules'!$B$6),"Weight out of range",IF(OR(F9&lt;'Check Rules'!$B$7,F9&gt;'Check Rules'!$B$8),"Systolic BP out of range",IF(OR(G9&lt;'Check Rules'!$B$9,G9&gt;'Check Rules'!$B$10),"Diastolic BP out of range",IF(G9&gt;=F9,"Diastolic &gt;= systolic","OK")))))))))</f>
        <v>OK</v>
      </c>
    </row>
    <row r="10" spans="1:9" x14ac:dyDescent="0.25">
      <c r="A10" s="10" t="s">
        <v>103</v>
      </c>
      <c r="B10" s="10" t="s">
        <v>75</v>
      </c>
      <c r="C10" s="10" t="s">
        <v>194</v>
      </c>
      <c r="D10" s="19">
        <v>46132</v>
      </c>
      <c r="E10" s="10">
        <v>60.8</v>
      </c>
      <c r="F10" s="10">
        <v>115</v>
      </c>
      <c r="G10" s="10">
        <v>75</v>
      </c>
      <c r="H10" s="10" t="s">
        <v>191</v>
      </c>
      <c r="I10" s="10" t="str">
        <f>IF(COUNTIF(Subjects!$A$2:$A$82,A10)=0,"Subject not in register",IF(D10&lt;INDEX(Subjects!$C$2:$C$82,MATCH(A10,Subjects!$A$2:$A$82,0)),"Visit before enrollment",IF(H10="Missed","Missed visit",IF(H10="Scheduled","OK",IF(E10="","Missing weight",IF(OR(E10&lt;'Check Rules'!$B$5,E10&gt;'Check Rules'!$B$6),"Weight out of range",IF(OR(F10&lt;'Check Rules'!$B$7,F10&gt;'Check Rules'!$B$8),"Systolic BP out of range",IF(OR(G10&lt;'Check Rules'!$B$9,G10&gt;'Check Rules'!$B$10),"Diastolic BP out of range",IF(G10&gt;=F10,"Diastolic &gt;= systolic","OK")))))))))</f>
        <v>OK</v>
      </c>
    </row>
    <row r="11" spans="1:9" x14ac:dyDescent="0.25">
      <c r="A11" s="10" t="s">
        <v>103</v>
      </c>
      <c r="B11" s="10" t="s">
        <v>75</v>
      </c>
      <c r="C11" s="10" t="s">
        <v>195</v>
      </c>
      <c r="D11" s="19">
        <v>46160</v>
      </c>
      <c r="E11" s="10"/>
      <c r="F11" s="10"/>
      <c r="G11" s="10"/>
      <c r="H11" s="10" t="s">
        <v>196</v>
      </c>
      <c r="I11" s="10" t="str">
        <f>IF(COUNTIF(Subjects!$A$2:$A$82,A11)=0,"Subject not in register",IF(D11&lt;INDEX(Subjects!$C$2:$C$82,MATCH(A11,Subjects!$A$2:$A$82,0)),"Visit before enrollment",IF(H11="Missed","Missed visit",IF(H11="Scheduled","OK",IF(E11="","Missing weight",IF(OR(E11&lt;'Check Rules'!$B$5,E11&gt;'Check Rules'!$B$6),"Weight out of range",IF(OR(F11&lt;'Check Rules'!$B$7,F11&gt;'Check Rules'!$B$8),"Systolic BP out of range",IF(OR(G11&lt;'Check Rules'!$B$9,G11&gt;'Check Rules'!$B$10),"Diastolic BP out of range",IF(G11&gt;=F11,"Diastolic &gt;= systolic","OK")))))))))</f>
        <v>OK</v>
      </c>
    </row>
    <row r="12" spans="1:9" x14ac:dyDescent="0.25">
      <c r="A12" s="10" t="s">
        <v>105</v>
      </c>
      <c r="B12" s="10" t="s">
        <v>74</v>
      </c>
      <c r="C12" s="10" t="s">
        <v>190</v>
      </c>
      <c r="D12" s="19">
        <v>46032</v>
      </c>
      <c r="E12" s="10">
        <v>72.599999999999994</v>
      </c>
      <c r="F12" s="10">
        <v>147</v>
      </c>
      <c r="G12" s="10">
        <v>71</v>
      </c>
      <c r="H12" s="10" t="s">
        <v>191</v>
      </c>
      <c r="I12" s="10" t="str">
        <f>IF(COUNTIF(Subjects!$A$2:$A$82,A12)=0,"Subject not in register",IF(D12&lt;INDEX(Subjects!$C$2:$C$82,MATCH(A12,Subjects!$A$2:$A$82,0)),"Visit before enrollment",IF(H12="Missed","Missed visit",IF(H12="Scheduled","OK",IF(E12="","Missing weight",IF(OR(E12&lt;'Check Rules'!$B$5,E12&gt;'Check Rules'!$B$6),"Weight out of range",IF(OR(F12&lt;'Check Rules'!$B$7,F12&gt;'Check Rules'!$B$8),"Systolic BP out of range",IF(OR(G12&lt;'Check Rules'!$B$9,G12&gt;'Check Rules'!$B$10),"Diastolic BP out of range",IF(G12&gt;=F12,"Diastolic &gt;= systolic","OK")))))))))</f>
        <v>OK</v>
      </c>
    </row>
    <row r="13" spans="1:9" x14ac:dyDescent="0.25">
      <c r="A13" s="10" t="s">
        <v>105</v>
      </c>
      <c r="B13" s="10" t="s">
        <v>74</v>
      </c>
      <c r="C13" s="10" t="s">
        <v>192</v>
      </c>
      <c r="D13" s="19">
        <v>46034</v>
      </c>
      <c r="E13" s="10">
        <v>74.099999999999994</v>
      </c>
      <c r="F13" s="10">
        <v>141</v>
      </c>
      <c r="G13" s="10">
        <v>71</v>
      </c>
      <c r="H13" s="10" t="s">
        <v>191</v>
      </c>
      <c r="I13" s="10" t="str">
        <f>IF(COUNTIF(Subjects!$A$2:$A$82,A13)=0,"Subject not in register",IF(D13&lt;INDEX(Subjects!$C$2:$C$82,MATCH(A13,Subjects!$A$2:$A$82,0)),"Visit before enrollment",IF(H13="Missed","Missed visit",IF(H13="Scheduled","OK",IF(E13="","Missing weight",IF(OR(E13&lt;'Check Rules'!$B$5,E13&gt;'Check Rules'!$B$6),"Weight out of range",IF(OR(F13&lt;'Check Rules'!$B$7,F13&gt;'Check Rules'!$B$8),"Systolic BP out of range",IF(OR(G13&lt;'Check Rules'!$B$9,G13&gt;'Check Rules'!$B$10),"Diastolic BP out of range",IF(G13&gt;=F13,"Diastolic &gt;= systolic","OK")))))))))</f>
        <v>OK</v>
      </c>
    </row>
    <row r="14" spans="1:9" x14ac:dyDescent="0.25">
      <c r="A14" s="10" t="s">
        <v>105</v>
      </c>
      <c r="B14" s="10" t="s">
        <v>74</v>
      </c>
      <c r="C14" s="10" t="s">
        <v>193</v>
      </c>
      <c r="D14" s="19">
        <v>46062</v>
      </c>
      <c r="E14" s="10">
        <v>73.3</v>
      </c>
      <c r="F14" s="10">
        <v>150</v>
      </c>
      <c r="G14" s="10">
        <v>75</v>
      </c>
      <c r="H14" s="10" t="s">
        <v>191</v>
      </c>
      <c r="I14" s="10" t="str">
        <f>IF(COUNTIF(Subjects!$A$2:$A$82,A14)=0,"Subject not in register",IF(D14&lt;INDEX(Subjects!$C$2:$C$82,MATCH(A14,Subjects!$A$2:$A$82,0)),"Visit before enrollment",IF(H14="Missed","Missed visit",IF(H14="Scheduled","OK",IF(E14="","Missing weight",IF(OR(E14&lt;'Check Rules'!$B$5,E14&gt;'Check Rules'!$B$6),"Weight out of range",IF(OR(F14&lt;'Check Rules'!$B$7,F14&gt;'Check Rules'!$B$8),"Systolic BP out of range",IF(OR(G14&lt;'Check Rules'!$B$9,G14&gt;'Check Rules'!$B$10),"Diastolic BP out of range",IF(G14&gt;=F14,"Diastolic &gt;= systolic","OK")))))))))</f>
        <v>OK</v>
      </c>
    </row>
    <row r="15" spans="1:9" x14ac:dyDescent="0.25">
      <c r="A15" s="10" t="s">
        <v>106</v>
      </c>
      <c r="B15" s="10" t="s">
        <v>75</v>
      </c>
      <c r="C15" s="10" t="s">
        <v>190</v>
      </c>
      <c r="D15" s="19">
        <v>46072</v>
      </c>
      <c r="E15" s="10">
        <v>64.8</v>
      </c>
      <c r="F15" s="10">
        <v>134</v>
      </c>
      <c r="G15" s="10">
        <v>72</v>
      </c>
      <c r="H15" s="10" t="s">
        <v>191</v>
      </c>
      <c r="I15" s="10" t="str">
        <f>IF(COUNTIF(Subjects!$A$2:$A$82,A15)=0,"Subject not in register",IF(D15&lt;INDEX(Subjects!$C$2:$C$82,MATCH(A15,Subjects!$A$2:$A$82,0)),"Visit before enrollment",IF(H15="Missed","Missed visit",IF(H15="Scheduled","OK",IF(E15="","Missing weight",IF(OR(E15&lt;'Check Rules'!$B$5,E15&gt;'Check Rules'!$B$6),"Weight out of range",IF(OR(F15&lt;'Check Rules'!$B$7,F15&gt;'Check Rules'!$B$8),"Systolic BP out of range",IF(OR(G15&lt;'Check Rules'!$B$9,G15&gt;'Check Rules'!$B$10),"Diastolic BP out of range",IF(G15&gt;=F15,"Diastolic &gt;= systolic","OK")))))))))</f>
        <v>OK</v>
      </c>
    </row>
    <row r="16" spans="1:9" x14ac:dyDescent="0.25">
      <c r="A16" s="10" t="s">
        <v>106</v>
      </c>
      <c r="B16" s="10" t="s">
        <v>75</v>
      </c>
      <c r="C16" s="10" t="s">
        <v>192</v>
      </c>
      <c r="D16" s="19">
        <v>46074</v>
      </c>
      <c r="E16" s="10">
        <v>63.7</v>
      </c>
      <c r="F16" s="10">
        <v>131</v>
      </c>
      <c r="G16" s="10">
        <v>83</v>
      </c>
      <c r="H16" s="10" t="s">
        <v>191</v>
      </c>
      <c r="I16" s="10" t="str">
        <f>IF(COUNTIF(Subjects!$A$2:$A$82,A16)=0,"Subject not in register",IF(D16&lt;INDEX(Subjects!$C$2:$C$82,MATCH(A16,Subjects!$A$2:$A$82,0)),"Visit before enrollment",IF(H16="Missed","Missed visit",IF(H16="Scheduled","OK",IF(E16="","Missing weight",IF(OR(E16&lt;'Check Rules'!$B$5,E16&gt;'Check Rules'!$B$6),"Weight out of range",IF(OR(F16&lt;'Check Rules'!$B$7,F16&gt;'Check Rules'!$B$8),"Systolic BP out of range",IF(OR(G16&lt;'Check Rules'!$B$9,G16&gt;'Check Rules'!$B$10),"Diastolic BP out of range",IF(G16&gt;=F16,"Diastolic &gt;= systolic","OK")))))))))</f>
        <v>OK</v>
      </c>
    </row>
    <row r="17" spans="1:9" x14ac:dyDescent="0.25">
      <c r="A17" s="10" t="s">
        <v>108</v>
      </c>
      <c r="B17" s="10" t="s">
        <v>78</v>
      </c>
      <c r="C17" s="10" t="s">
        <v>190</v>
      </c>
      <c r="D17" s="19">
        <v>46044</v>
      </c>
      <c r="E17" s="10">
        <v>74.2</v>
      </c>
      <c r="F17" s="10">
        <v>114</v>
      </c>
      <c r="G17" s="10">
        <v>79</v>
      </c>
      <c r="H17" s="10" t="s">
        <v>191</v>
      </c>
      <c r="I17" s="10" t="str">
        <f>IF(COUNTIF(Subjects!$A$2:$A$82,A17)=0,"Subject not in register",IF(D17&lt;INDEX(Subjects!$C$2:$C$82,MATCH(A17,Subjects!$A$2:$A$82,0)),"Visit before enrollment",IF(H17="Missed","Missed visit",IF(H17="Scheduled","OK",IF(E17="","Missing weight",IF(OR(E17&lt;'Check Rules'!$B$5,E17&gt;'Check Rules'!$B$6),"Weight out of range",IF(OR(F17&lt;'Check Rules'!$B$7,F17&gt;'Check Rules'!$B$8),"Systolic BP out of range",IF(OR(G17&lt;'Check Rules'!$B$9,G17&gt;'Check Rules'!$B$10),"Diastolic BP out of range",IF(G17&gt;=F17,"Diastolic &gt;= systolic","OK")))))))))</f>
        <v>OK</v>
      </c>
    </row>
    <row r="18" spans="1:9" x14ac:dyDescent="0.25">
      <c r="A18" s="10" t="s">
        <v>108</v>
      </c>
      <c r="B18" s="10" t="s">
        <v>78</v>
      </c>
      <c r="C18" s="10" t="s">
        <v>192</v>
      </c>
      <c r="D18" s="19">
        <v>46046</v>
      </c>
      <c r="E18" s="10">
        <v>74.5</v>
      </c>
      <c r="F18" s="10">
        <v>118</v>
      </c>
      <c r="G18" s="10">
        <v>80</v>
      </c>
      <c r="H18" s="10" t="s">
        <v>191</v>
      </c>
      <c r="I18" s="10" t="str">
        <f>IF(COUNTIF(Subjects!$A$2:$A$82,A18)=0,"Subject not in register",IF(D18&lt;INDEX(Subjects!$C$2:$C$82,MATCH(A18,Subjects!$A$2:$A$82,0)),"Visit before enrollment",IF(H18="Missed","Missed visit",IF(H18="Scheduled","OK",IF(E18="","Missing weight",IF(OR(E18&lt;'Check Rules'!$B$5,E18&gt;'Check Rules'!$B$6),"Weight out of range",IF(OR(F18&lt;'Check Rules'!$B$7,F18&gt;'Check Rules'!$B$8),"Systolic BP out of range",IF(OR(G18&lt;'Check Rules'!$B$9,G18&gt;'Check Rules'!$B$10),"Diastolic BP out of range",IF(G18&gt;=F18,"Diastolic &gt;= systolic","OK")))))))))</f>
        <v>OK</v>
      </c>
    </row>
    <row r="19" spans="1:9" x14ac:dyDescent="0.25">
      <c r="A19" s="10" t="s">
        <v>108</v>
      </c>
      <c r="B19" s="10" t="s">
        <v>78</v>
      </c>
      <c r="C19" s="10" t="s">
        <v>193</v>
      </c>
      <c r="D19" s="19">
        <v>46074</v>
      </c>
      <c r="E19" s="10">
        <v>71.8</v>
      </c>
      <c r="F19" s="10">
        <v>112</v>
      </c>
      <c r="G19" s="10">
        <v>78</v>
      </c>
      <c r="H19" s="10" t="s">
        <v>191</v>
      </c>
      <c r="I19" s="10" t="str">
        <f>IF(COUNTIF(Subjects!$A$2:$A$82,A19)=0,"Subject not in register",IF(D19&lt;INDEX(Subjects!$C$2:$C$82,MATCH(A19,Subjects!$A$2:$A$82,0)),"Visit before enrollment",IF(H19="Missed","Missed visit",IF(H19="Scheduled","OK",IF(E19="","Missing weight",IF(OR(E19&lt;'Check Rules'!$B$5,E19&gt;'Check Rules'!$B$6),"Weight out of range",IF(OR(F19&lt;'Check Rules'!$B$7,F19&gt;'Check Rules'!$B$8),"Systolic BP out of range",IF(OR(G19&lt;'Check Rules'!$B$9,G19&gt;'Check Rules'!$B$10),"Diastolic BP out of range",IF(G19&gt;=F19,"Diastolic &gt;= systolic","OK")))))))))</f>
        <v>OK</v>
      </c>
    </row>
    <row r="20" spans="1:9" x14ac:dyDescent="0.25">
      <c r="A20" s="10" t="s">
        <v>109</v>
      </c>
      <c r="B20" s="10" t="s">
        <v>77</v>
      </c>
      <c r="C20" s="10" t="s">
        <v>190</v>
      </c>
      <c r="D20" s="19">
        <v>46048</v>
      </c>
      <c r="E20" s="10">
        <v>81.099999999999994</v>
      </c>
      <c r="F20" s="10">
        <v>121</v>
      </c>
      <c r="G20" s="10">
        <v>81</v>
      </c>
      <c r="H20" s="10" t="s">
        <v>191</v>
      </c>
      <c r="I20" s="10" t="str">
        <f>IF(COUNTIF(Subjects!$A$2:$A$82,A20)=0,"Subject not in register",IF(D20&lt;INDEX(Subjects!$C$2:$C$82,MATCH(A20,Subjects!$A$2:$A$82,0)),"Visit before enrollment",IF(H20="Missed","Missed visit",IF(H20="Scheduled","OK",IF(E20="","Missing weight",IF(OR(E20&lt;'Check Rules'!$B$5,E20&gt;'Check Rules'!$B$6),"Weight out of range",IF(OR(F20&lt;'Check Rules'!$B$7,F20&gt;'Check Rules'!$B$8),"Systolic BP out of range",IF(OR(G20&lt;'Check Rules'!$B$9,G20&gt;'Check Rules'!$B$10),"Diastolic BP out of range",IF(G20&gt;=F20,"Diastolic &gt;= systolic","OK")))))))))</f>
        <v>OK</v>
      </c>
    </row>
    <row r="21" spans="1:9" x14ac:dyDescent="0.25">
      <c r="A21" s="10" t="s">
        <v>109</v>
      </c>
      <c r="B21" s="10" t="s">
        <v>77</v>
      </c>
      <c r="C21" s="10" t="s">
        <v>192</v>
      </c>
      <c r="D21" s="19">
        <v>46050</v>
      </c>
      <c r="E21" s="10">
        <v>80.5</v>
      </c>
      <c r="F21" s="10">
        <v>115</v>
      </c>
      <c r="G21" s="10">
        <v>77</v>
      </c>
      <c r="H21" s="10" t="s">
        <v>191</v>
      </c>
      <c r="I21" s="10" t="str">
        <f>IF(COUNTIF(Subjects!$A$2:$A$82,A21)=0,"Subject not in register",IF(D21&lt;INDEX(Subjects!$C$2:$C$82,MATCH(A21,Subjects!$A$2:$A$82,0)),"Visit before enrollment",IF(H21="Missed","Missed visit",IF(H21="Scheduled","OK",IF(E21="","Missing weight",IF(OR(E21&lt;'Check Rules'!$B$5,E21&gt;'Check Rules'!$B$6),"Weight out of range",IF(OR(F21&lt;'Check Rules'!$B$7,F21&gt;'Check Rules'!$B$8),"Systolic BP out of range",IF(OR(G21&lt;'Check Rules'!$B$9,G21&gt;'Check Rules'!$B$10),"Diastolic BP out of range",IF(G21&gt;=F21,"Diastolic &gt;= systolic","OK")))))))))</f>
        <v>OK</v>
      </c>
    </row>
    <row r="22" spans="1:9" x14ac:dyDescent="0.25">
      <c r="A22" s="10" t="s">
        <v>110</v>
      </c>
      <c r="B22" s="10" t="s">
        <v>74</v>
      </c>
      <c r="C22" s="10" t="s">
        <v>190</v>
      </c>
      <c r="D22" s="19">
        <v>46032</v>
      </c>
      <c r="E22" s="10">
        <v>49.2</v>
      </c>
      <c r="F22" s="10">
        <v>110</v>
      </c>
      <c r="G22" s="10">
        <v>66</v>
      </c>
      <c r="H22" s="10" t="s">
        <v>191</v>
      </c>
      <c r="I22" s="10" t="str">
        <f>IF(COUNTIF(Subjects!$A$2:$A$82,A22)=0,"Subject not in register",IF(D22&lt;INDEX(Subjects!$C$2:$C$82,MATCH(A22,Subjects!$A$2:$A$82,0)),"Visit before enrollment",IF(H22="Missed","Missed visit",IF(H22="Scheduled","OK",IF(E22="","Missing weight",IF(OR(E22&lt;'Check Rules'!$B$5,E22&gt;'Check Rules'!$B$6),"Weight out of range",IF(OR(F22&lt;'Check Rules'!$B$7,F22&gt;'Check Rules'!$B$8),"Systolic BP out of range",IF(OR(G22&lt;'Check Rules'!$B$9,G22&gt;'Check Rules'!$B$10),"Diastolic BP out of range",IF(G22&gt;=F22,"Diastolic &gt;= systolic","OK")))))))))</f>
        <v>OK</v>
      </c>
    </row>
    <row r="23" spans="1:9" x14ac:dyDescent="0.25">
      <c r="A23" s="10" t="s">
        <v>110</v>
      </c>
      <c r="B23" s="10" t="s">
        <v>74</v>
      </c>
      <c r="C23" s="10" t="s">
        <v>192</v>
      </c>
      <c r="D23" s="19">
        <v>46011</v>
      </c>
      <c r="E23" s="10">
        <v>49.1</v>
      </c>
      <c r="F23" s="10">
        <v>121</v>
      </c>
      <c r="G23" s="10">
        <v>69</v>
      </c>
      <c r="H23" s="10" t="s">
        <v>191</v>
      </c>
      <c r="I23" s="10" t="str">
        <f>IF(COUNTIF(Subjects!$A$2:$A$82,A23)=0,"Subject not in register",IF(D23&lt;INDEX(Subjects!$C$2:$C$82,MATCH(A23,Subjects!$A$2:$A$82,0)),"Visit before enrollment",IF(H23="Missed","Missed visit",IF(H23="Scheduled","OK",IF(E23="","Missing weight",IF(OR(E23&lt;'Check Rules'!$B$5,E23&gt;'Check Rules'!$B$6),"Weight out of range",IF(OR(F23&lt;'Check Rules'!$B$7,F23&gt;'Check Rules'!$B$8),"Systolic BP out of range",IF(OR(G23&lt;'Check Rules'!$B$9,G23&gt;'Check Rules'!$B$10),"Diastolic BP out of range",IF(G23&gt;=F23,"Diastolic &gt;= systolic","OK")))))))))</f>
        <v>Visit before enrollment</v>
      </c>
    </row>
    <row r="24" spans="1:9" x14ac:dyDescent="0.25">
      <c r="A24" s="10" t="s">
        <v>110</v>
      </c>
      <c r="B24" s="10" t="s">
        <v>74</v>
      </c>
      <c r="C24" s="10" t="s">
        <v>193</v>
      </c>
      <c r="D24" s="19">
        <v>46062</v>
      </c>
      <c r="E24" s="10">
        <v>50.5</v>
      </c>
      <c r="F24" s="10">
        <v>108</v>
      </c>
      <c r="G24" s="10">
        <v>65</v>
      </c>
      <c r="H24" s="10" t="s">
        <v>191</v>
      </c>
      <c r="I24" s="10" t="str">
        <f>IF(COUNTIF(Subjects!$A$2:$A$82,A24)=0,"Subject not in register",IF(D24&lt;INDEX(Subjects!$C$2:$C$82,MATCH(A24,Subjects!$A$2:$A$82,0)),"Visit before enrollment",IF(H24="Missed","Missed visit",IF(H24="Scheduled","OK",IF(E24="","Missing weight",IF(OR(E24&lt;'Check Rules'!$B$5,E24&gt;'Check Rules'!$B$6),"Weight out of range",IF(OR(F24&lt;'Check Rules'!$B$7,F24&gt;'Check Rules'!$B$8),"Systolic BP out of range",IF(OR(G24&lt;'Check Rules'!$B$9,G24&gt;'Check Rules'!$B$10),"Diastolic BP out of range",IF(G24&gt;=F24,"Diastolic &gt;= systolic","OK")))))))))</f>
        <v>OK</v>
      </c>
    </row>
    <row r="25" spans="1:9" x14ac:dyDescent="0.25">
      <c r="A25" s="10" t="s">
        <v>110</v>
      </c>
      <c r="B25" s="10" t="s">
        <v>74</v>
      </c>
      <c r="C25" s="10" t="s">
        <v>194</v>
      </c>
      <c r="D25" s="19">
        <v>46090</v>
      </c>
      <c r="E25" s="10">
        <v>48.9</v>
      </c>
      <c r="F25" s="10">
        <v>115</v>
      </c>
      <c r="G25" s="10">
        <v>67</v>
      </c>
      <c r="H25" s="10" t="s">
        <v>191</v>
      </c>
      <c r="I25" s="10" t="str">
        <f>IF(COUNTIF(Subjects!$A$2:$A$82,A25)=0,"Subject not in register",IF(D25&lt;INDEX(Subjects!$C$2:$C$82,MATCH(A25,Subjects!$A$2:$A$82,0)),"Visit before enrollment",IF(H25="Missed","Missed visit",IF(H25="Scheduled","OK",IF(E25="","Missing weight",IF(OR(E25&lt;'Check Rules'!$B$5,E25&gt;'Check Rules'!$B$6),"Weight out of range",IF(OR(F25&lt;'Check Rules'!$B$7,F25&gt;'Check Rules'!$B$8),"Systolic BP out of range",IF(OR(G25&lt;'Check Rules'!$B$9,G25&gt;'Check Rules'!$B$10),"Diastolic BP out of range",IF(G25&gt;=F25,"Diastolic &gt;= systolic","OK")))))))))</f>
        <v>OK</v>
      </c>
    </row>
    <row r="26" spans="1:9" x14ac:dyDescent="0.25">
      <c r="A26" s="10" t="s">
        <v>111</v>
      </c>
      <c r="B26" s="10" t="s">
        <v>78</v>
      </c>
      <c r="C26" s="10" t="s">
        <v>190</v>
      </c>
      <c r="D26" s="19">
        <v>46043</v>
      </c>
      <c r="E26" s="10">
        <v>69.900000000000006</v>
      </c>
      <c r="F26" s="10">
        <v>105</v>
      </c>
      <c r="G26" s="10">
        <v>80</v>
      </c>
      <c r="H26" s="10" t="s">
        <v>191</v>
      </c>
      <c r="I26" s="10" t="str">
        <f>IF(COUNTIF(Subjects!$A$2:$A$82,A26)=0,"Subject not in register",IF(D26&lt;INDEX(Subjects!$C$2:$C$82,MATCH(A26,Subjects!$A$2:$A$82,0)),"Visit before enrollment",IF(H26="Missed","Missed visit",IF(H26="Scheduled","OK",IF(E26="","Missing weight",IF(OR(E26&lt;'Check Rules'!$B$5,E26&gt;'Check Rules'!$B$6),"Weight out of range",IF(OR(F26&lt;'Check Rules'!$B$7,F26&gt;'Check Rules'!$B$8),"Systolic BP out of range",IF(OR(G26&lt;'Check Rules'!$B$9,G26&gt;'Check Rules'!$B$10),"Diastolic BP out of range",IF(G26&gt;=F26,"Diastolic &gt;= systolic","OK")))))))))</f>
        <v>OK</v>
      </c>
    </row>
    <row r="27" spans="1:9" x14ac:dyDescent="0.25">
      <c r="A27" s="10" t="s">
        <v>111</v>
      </c>
      <c r="B27" s="10" t="s">
        <v>78</v>
      </c>
      <c r="C27" s="10" t="s">
        <v>192</v>
      </c>
      <c r="D27" s="19">
        <v>46045</v>
      </c>
      <c r="E27" s="10">
        <v>69</v>
      </c>
      <c r="F27" s="10">
        <v>110</v>
      </c>
      <c r="G27" s="10">
        <v>81</v>
      </c>
      <c r="H27" s="10" t="s">
        <v>191</v>
      </c>
      <c r="I27" s="10" t="str">
        <f>IF(COUNTIF(Subjects!$A$2:$A$82,A27)=0,"Subject not in register",IF(D27&lt;INDEX(Subjects!$C$2:$C$82,MATCH(A27,Subjects!$A$2:$A$82,0)),"Visit before enrollment",IF(H27="Missed","Missed visit",IF(H27="Scheduled","OK",IF(E27="","Missing weight",IF(OR(E27&lt;'Check Rules'!$B$5,E27&gt;'Check Rules'!$B$6),"Weight out of range",IF(OR(F27&lt;'Check Rules'!$B$7,F27&gt;'Check Rules'!$B$8),"Systolic BP out of range",IF(OR(G27&lt;'Check Rules'!$B$9,G27&gt;'Check Rules'!$B$10),"Diastolic BP out of range",IF(G27&gt;=F27,"Diastolic &gt;= systolic","OK")))))))))</f>
        <v>OK</v>
      </c>
    </row>
    <row r="28" spans="1:9" x14ac:dyDescent="0.25">
      <c r="A28" s="10" t="s">
        <v>111</v>
      </c>
      <c r="B28" s="10" t="s">
        <v>78</v>
      </c>
      <c r="C28" s="10" t="s">
        <v>193</v>
      </c>
      <c r="D28" s="19">
        <v>46073</v>
      </c>
      <c r="E28" s="10">
        <v>69</v>
      </c>
      <c r="F28" s="10">
        <v>113</v>
      </c>
      <c r="G28" s="10">
        <v>76</v>
      </c>
      <c r="H28" s="10" t="s">
        <v>191</v>
      </c>
      <c r="I28" s="10" t="str">
        <f>IF(COUNTIF(Subjects!$A$2:$A$82,A28)=0,"Subject not in register",IF(D28&lt;INDEX(Subjects!$C$2:$C$82,MATCH(A28,Subjects!$A$2:$A$82,0)),"Visit before enrollment",IF(H28="Missed","Missed visit",IF(H28="Scheduled","OK",IF(E28="","Missing weight",IF(OR(E28&lt;'Check Rules'!$B$5,E28&gt;'Check Rules'!$B$6),"Weight out of range",IF(OR(F28&lt;'Check Rules'!$B$7,F28&gt;'Check Rules'!$B$8),"Systolic BP out of range",IF(OR(G28&lt;'Check Rules'!$B$9,G28&gt;'Check Rules'!$B$10),"Diastolic BP out of range",IF(G28&gt;=F28,"Diastolic &gt;= systolic","OK")))))))))</f>
        <v>OK</v>
      </c>
    </row>
    <row r="29" spans="1:9" x14ac:dyDescent="0.25">
      <c r="A29" s="10" t="s">
        <v>112</v>
      </c>
      <c r="B29" s="10" t="s">
        <v>74</v>
      </c>
      <c r="C29" s="10" t="s">
        <v>190</v>
      </c>
      <c r="D29" s="19">
        <v>46051</v>
      </c>
      <c r="E29" s="10">
        <v>73.3</v>
      </c>
      <c r="F29" s="10">
        <v>119</v>
      </c>
      <c r="G29" s="10">
        <v>66</v>
      </c>
      <c r="H29" s="10" t="s">
        <v>191</v>
      </c>
      <c r="I29" s="10" t="str">
        <f>IF(COUNTIF(Subjects!$A$2:$A$82,A29)=0,"Subject not in register",IF(D29&lt;INDEX(Subjects!$C$2:$C$82,MATCH(A29,Subjects!$A$2:$A$82,0)),"Visit before enrollment",IF(H29="Missed","Missed visit",IF(H29="Scheduled","OK",IF(E29="","Missing weight",IF(OR(E29&lt;'Check Rules'!$B$5,E29&gt;'Check Rules'!$B$6),"Weight out of range",IF(OR(F29&lt;'Check Rules'!$B$7,F29&gt;'Check Rules'!$B$8),"Systolic BP out of range",IF(OR(G29&lt;'Check Rules'!$B$9,G29&gt;'Check Rules'!$B$10),"Diastolic BP out of range",IF(G29&gt;=F29,"Diastolic &gt;= systolic","OK")))))))))</f>
        <v>OK</v>
      </c>
    </row>
    <row r="30" spans="1:9" x14ac:dyDescent="0.25">
      <c r="A30" s="10" t="s">
        <v>112</v>
      </c>
      <c r="B30" s="10" t="s">
        <v>74</v>
      </c>
      <c r="C30" s="10" t="s">
        <v>192</v>
      </c>
      <c r="D30" s="19">
        <v>46053</v>
      </c>
      <c r="E30" s="10">
        <v>73.599999999999994</v>
      </c>
      <c r="F30" s="10">
        <v>127</v>
      </c>
      <c r="G30" s="10">
        <v>68</v>
      </c>
      <c r="H30" s="10" t="s">
        <v>191</v>
      </c>
      <c r="I30" s="10" t="str">
        <f>IF(COUNTIF(Subjects!$A$2:$A$82,A30)=0,"Subject not in register",IF(D30&lt;INDEX(Subjects!$C$2:$C$82,MATCH(A30,Subjects!$A$2:$A$82,0)),"Visit before enrollment",IF(H30="Missed","Missed visit",IF(H30="Scheduled","OK",IF(E30="","Missing weight",IF(OR(E30&lt;'Check Rules'!$B$5,E30&gt;'Check Rules'!$B$6),"Weight out of range",IF(OR(F30&lt;'Check Rules'!$B$7,F30&gt;'Check Rules'!$B$8),"Systolic BP out of range",IF(OR(G30&lt;'Check Rules'!$B$9,G30&gt;'Check Rules'!$B$10),"Diastolic BP out of range",IF(G30&gt;=F30,"Diastolic &gt;= systolic","OK")))))))))</f>
        <v>OK</v>
      </c>
    </row>
    <row r="31" spans="1:9" x14ac:dyDescent="0.25">
      <c r="A31" s="10" t="s">
        <v>112</v>
      </c>
      <c r="B31" s="10" t="s">
        <v>74</v>
      </c>
      <c r="C31" s="10" t="s">
        <v>193</v>
      </c>
      <c r="D31" s="19">
        <v>46081</v>
      </c>
      <c r="E31" s="10">
        <v>73.900000000000006</v>
      </c>
      <c r="F31" s="10">
        <v>120</v>
      </c>
      <c r="G31" s="10">
        <v>63</v>
      </c>
      <c r="H31" s="10" t="s">
        <v>191</v>
      </c>
      <c r="I31" s="10" t="str">
        <f>IF(COUNTIF(Subjects!$A$2:$A$82,A31)=0,"Subject not in register",IF(D31&lt;INDEX(Subjects!$C$2:$C$82,MATCH(A31,Subjects!$A$2:$A$82,0)),"Visit before enrollment",IF(H31="Missed","Missed visit",IF(H31="Scheduled","OK",IF(E31="","Missing weight",IF(OR(E31&lt;'Check Rules'!$B$5,E31&gt;'Check Rules'!$B$6),"Weight out of range",IF(OR(F31&lt;'Check Rules'!$B$7,F31&gt;'Check Rules'!$B$8),"Systolic BP out of range",IF(OR(G31&lt;'Check Rules'!$B$9,G31&gt;'Check Rules'!$B$10),"Diastolic BP out of range",IF(G31&gt;=F31,"Diastolic &gt;= systolic","OK")))))))))</f>
        <v>OK</v>
      </c>
    </row>
    <row r="32" spans="1:9" x14ac:dyDescent="0.25">
      <c r="A32" s="10" t="s">
        <v>113</v>
      </c>
      <c r="B32" s="10" t="s">
        <v>75</v>
      </c>
      <c r="C32" s="10" t="s">
        <v>190</v>
      </c>
      <c r="D32" s="19">
        <v>46072</v>
      </c>
      <c r="E32" s="10">
        <v>67.099999999999994</v>
      </c>
      <c r="F32" s="10">
        <v>120</v>
      </c>
      <c r="G32" s="10">
        <v>83</v>
      </c>
      <c r="H32" s="10" t="s">
        <v>191</v>
      </c>
      <c r="I32" s="10" t="str">
        <f>IF(COUNTIF(Subjects!$A$2:$A$82,A32)=0,"Subject not in register",IF(D32&lt;INDEX(Subjects!$C$2:$C$82,MATCH(A32,Subjects!$A$2:$A$82,0)),"Visit before enrollment",IF(H32="Missed","Missed visit",IF(H32="Scheduled","OK",IF(E32="","Missing weight",IF(OR(E32&lt;'Check Rules'!$B$5,E32&gt;'Check Rules'!$B$6),"Weight out of range",IF(OR(F32&lt;'Check Rules'!$B$7,F32&gt;'Check Rules'!$B$8),"Systolic BP out of range",IF(OR(G32&lt;'Check Rules'!$B$9,G32&gt;'Check Rules'!$B$10),"Diastolic BP out of range",IF(G32&gt;=F32,"Diastolic &gt;= systolic","OK")))))))))</f>
        <v>OK</v>
      </c>
    </row>
    <row r="33" spans="1:9" x14ac:dyDescent="0.25">
      <c r="A33" s="10" t="s">
        <v>113</v>
      </c>
      <c r="B33" s="10" t="s">
        <v>75</v>
      </c>
      <c r="C33" s="10" t="s">
        <v>192</v>
      </c>
      <c r="D33" s="19">
        <v>46074</v>
      </c>
      <c r="E33" s="10"/>
      <c r="F33" s="10">
        <v>124</v>
      </c>
      <c r="G33" s="10">
        <v>80</v>
      </c>
      <c r="H33" s="10" t="s">
        <v>191</v>
      </c>
      <c r="I33" s="10" t="str">
        <f>IF(COUNTIF(Subjects!$A$2:$A$82,A33)=0,"Subject not in register",IF(D33&lt;INDEX(Subjects!$C$2:$C$82,MATCH(A33,Subjects!$A$2:$A$82,0)),"Visit before enrollment",IF(H33="Missed","Missed visit",IF(H33="Scheduled","OK",IF(E33="","Missing weight",IF(OR(E33&lt;'Check Rules'!$B$5,E33&gt;'Check Rules'!$B$6),"Weight out of range",IF(OR(F33&lt;'Check Rules'!$B$7,F33&gt;'Check Rules'!$B$8),"Systolic BP out of range",IF(OR(G33&lt;'Check Rules'!$B$9,G33&gt;'Check Rules'!$B$10),"Diastolic BP out of range",IF(G33&gt;=F33,"Diastolic &gt;= systolic","OK")))))))))</f>
        <v>Missing weight</v>
      </c>
    </row>
    <row r="34" spans="1:9" x14ac:dyDescent="0.25">
      <c r="A34" s="10" t="s">
        <v>113</v>
      </c>
      <c r="B34" s="10" t="s">
        <v>75</v>
      </c>
      <c r="C34" s="10" t="s">
        <v>193</v>
      </c>
      <c r="D34" s="19">
        <v>46102</v>
      </c>
      <c r="E34" s="10">
        <v>64.7</v>
      </c>
      <c r="F34" s="10">
        <v>127</v>
      </c>
      <c r="G34" s="10">
        <v>76</v>
      </c>
      <c r="H34" s="10" t="s">
        <v>191</v>
      </c>
      <c r="I34" s="10" t="str">
        <f>IF(COUNTIF(Subjects!$A$2:$A$82,A34)=0,"Subject not in register",IF(D34&lt;INDEX(Subjects!$C$2:$C$82,MATCH(A34,Subjects!$A$2:$A$82,0)),"Visit before enrollment",IF(H34="Missed","Missed visit",IF(H34="Scheduled","OK",IF(E34="","Missing weight",IF(OR(E34&lt;'Check Rules'!$B$5,E34&gt;'Check Rules'!$B$6),"Weight out of range",IF(OR(F34&lt;'Check Rules'!$B$7,F34&gt;'Check Rules'!$B$8),"Systolic BP out of range",IF(OR(G34&lt;'Check Rules'!$B$9,G34&gt;'Check Rules'!$B$10),"Diastolic BP out of range",IF(G34&gt;=F34,"Diastolic &gt;= systolic","OK")))))))))</f>
        <v>OK</v>
      </c>
    </row>
    <row r="35" spans="1:9" x14ac:dyDescent="0.25">
      <c r="A35" s="10" t="s">
        <v>113</v>
      </c>
      <c r="B35" s="10" t="s">
        <v>75</v>
      </c>
      <c r="C35" s="10" t="s">
        <v>194</v>
      </c>
      <c r="D35" s="19">
        <v>46130</v>
      </c>
      <c r="E35" s="10">
        <v>66.400000000000006</v>
      </c>
      <c r="F35" s="10">
        <v>133</v>
      </c>
      <c r="G35" s="10">
        <v>77</v>
      </c>
      <c r="H35" s="10" t="s">
        <v>191</v>
      </c>
      <c r="I35" s="10" t="str">
        <f>IF(COUNTIF(Subjects!$A$2:$A$82,A35)=0,"Subject not in register",IF(D35&lt;INDEX(Subjects!$C$2:$C$82,MATCH(A35,Subjects!$A$2:$A$82,0)),"Visit before enrollment",IF(H35="Missed","Missed visit",IF(H35="Scheduled","OK",IF(E35="","Missing weight",IF(OR(E35&lt;'Check Rules'!$B$5,E35&gt;'Check Rules'!$B$6),"Weight out of range",IF(OR(F35&lt;'Check Rules'!$B$7,F35&gt;'Check Rules'!$B$8),"Systolic BP out of range",IF(OR(G35&lt;'Check Rules'!$B$9,G35&gt;'Check Rules'!$B$10),"Diastolic BP out of range",IF(G35&gt;=F35,"Diastolic &gt;= systolic","OK")))))))))</f>
        <v>OK</v>
      </c>
    </row>
    <row r="36" spans="1:9" x14ac:dyDescent="0.25">
      <c r="A36" s="10" t="s">
        <v>114</v>
      </c>
      <c r="B36" s="10" t="s">
        <v>74</v>
      </c>
      <c r="C36" s="10" t="s">
        <v>190</v>
      </c>
      <c r="D36" s="19">
        <v>46041</v>
      </c>
      <c r="E36" s="10">
        <v>54.1</v>
      </c>
      <c r="F36" s="10">
        <v>130</v>
      </c>
      <c r="G36" s="10">
        <v>74</v>
      </c>
      <c r="H36" s="10" t="s">
        <v>191</v>
      </c>
      <c r="I36" s="10" t="str">
        <f>IF(COUNTIF(Subjects!$A$2:$A$82,A36)=0,"Subject not in register",IF(D36&lt;INDEX(Subjects!$C$2:$C$82,MATCH(A36,Subjects!$A$2:$A$82,0)),"Visit before enrollment",IF(H36="Missed","Missed visit",IF(H36="Scheduled","OK",IF(E36="","Missing weight",IF(OR(E36&lt;'Check Rules'!$B$5,E36&gt;'Check Rules'!$B$6),"Weight out of range",IF(OR(F36&lt;'Check Rules'!$B$7,F36&gt;'Check Rules'!$B$8),"Systolic BP out of range",IF(OR(G36&lt;'Check Rules'!$B$9,G36&gt;'Check Rules'!$B$10),"Diastolic BP out of range",IF(G36&gt;=F36,"Diastolic &gt;= systolic","OK")))))))))</f>
        <v>OK</v>
      </c>
    </row>
    <row r="37" spans="1:9" x14ac:dyDescent="0.25">
      <c r="A37" s="10" t="s">
        <v>114</v>
      </c>
      <c r="B37" s="10" t="s">
        <v>74</v>
      </c>
      <c r="C37" s="10" t="s">
        <v>192</v>
      </c>
      <c r="D37" s="19">
        <v>46043</v>
      </c>
      <c r="E37" s="10">
        <v>53.2</v>
      </c>
      <c r="F37" s="10">
        <v>132</v>
      </c>
      <c r="G37" s="10">
        <v>72</v>
      </c>
      <c r="H37" s="10" t="s">
        <v>191</v>
      </c>
      <c r="I37" s="10" t="str">
        <f>IF(COUNTIF(Subjects!$A$2:$A$82,A37)=0,"Subject not in register",IF(D37&lt;INDEX(Subjects!$C$2:$C$82,MATCH(A37,Subjects!$A$2:$A$82,0)),"Visit before enrollment",IF(H37="Missed","Missed visit",IF(H37="Scheduled","OK",IF(E37="","Missing weight",IF(OR(E37&lt;'Check Rules'!$B$5,E37&gt;'Check Rules'!$B$6),"Weight out of range",IF(OR(F37&lt;'Check Rules'!$B$7,F37&gt;'Check Rules'!$B$8),"Systolic BP out of range",IF(OR(G37&lt;'Check Rules'!$B$9,G37&gt;'Check Rules'!$B$10),"Diastolic BP out of range",IF(G37&gt;=F37,"Diastolic &gt;= systolic","OK")))))))))</f>
        <v>OK</v>
      </c>
    </row>
    <row r="38" spans="1:9" x14ac:dyDescent="0.25">
      <c r="A38" s="10" t="s">
        <v>114</v>
      </c>
      <c r="B38" s="10" t="s">
        <v>74</v>
      </c>
      <c r="C38" s="10" t="s">
        <v>193</v>
      </c>
      <c r="D38" s="19">
        <v>46071</v>
      </c>
      <c r="E38" s="10">
        <v>54.8</v>
      </c>
      <c r="F38" s="10">
        <v>113</v>
      </c>
      <c r="G38" s="10">
        <v>73</v>
      </c>
      <c r="H38" s="10" t="s">
        <v>191</v>
      </c>
      <c r="I38" s="10" t="str">
        <f>IF(COUNTIF(Subjects!$A$2:$A$82,A38)=0,"Subject not in register",IF(D38&lt;INDEX(Subjects!$C$2:$C$82,MATCH(A38,Subjects!$A$2:$A$82,0)),"Visit before enrollment",IF(H38="Missed","Missed visit",IF(H38="Scheduled","OK",IF(E38="","Missing weight",IF(OR(E38&lt;'Check Rules'!$B$5,E38&gt;'Check Rules'!$B$6),"Weight out of range",IF(OR(F38&lt;'Check Rules'!$B$7,F38&gt;'Check Rules'!$B$8),"Systolic BP out of range",IF(OR(G38&lt;'Check Rules'!$B$9,G38&gt;'Check Rules'!$B$10),"Diastolic BP out of range",IF(G38&gt;=F38,"Diastolic &gt;= systolic","OK")))))))))</f>
        <v>OK</v>
      </c>
    </row>
    <row r="39" spans="1:9" x14ac:dyDescent="0.25">
      <c r="A39" s="10" t="s">
        <v>115</v>
      </c>
      <c r="B39" s="10" t="s">
        <v>77</v>
      </c>
      <c r="C39" s="10" t="s">
        <v>190</v>
      </c>
      <c r="D39" s="19">
        <v>46067</v>
      </c>
      <c r="E39" s="10">
        <v>61.6</v>
      </c>
      <c r="F39" s="10">
        <v>143</v>
      </c>
      <c r="G39" s="10">
        <v>71</v>
      </c>
      <c r="H39" s="10" t="s">
        <v>191</v>
      </c>
      <c r="I39" s="10" t="str">
        <f>IF(COUNTIF(Subjects!$A$2:$A$82,A39)=0,"Subject not in register",IF(D39&lt;INDEX(Subjects!$C$2:$C$82,MATCH(A39,Subjects!$A$2:$A$82,0)),"Visit before enrollment",IF(H39="Missed","Missed visit",IF(H39="Scheduled","OK",IF(E39="","Missing weight",IF(OR(E39&lt;'Check Rules'!$B$5,E39&gt;'Check Rules'!$B$6),"Weight out of range",IF(OR(F39&lt;'Check Rules'!$B$7,F39&gt;'Check Rules'!$B$8),"Systolic BP out of range",IF(OR(G39&lt;'Check Rules'!$B$9,G39&gt;'Check Rules'!$B$10),"Diastolic BP out of range",IF(G39&gt;=F39,"Diastolic &gt;= systolic","OK")))))))))</f>
        <v>OK</v>
      </c>
    </row>
    <row r="40" spans="1:9" x14ac:dyDescent="0.25">
      <c r="A40" s="10" t="s">
        <v>115</v>
      </c>
      <c r="B40" s="10" t="s">
        <v>77</v>
      </c>
      <c r="C40" s="10" t="s">
        <v>192</v>
      </c>
      <c r="D40" s="19">
        <v>46069</v>
      </c>
      <c r="E40" s="10">
        <v>62.1</v>
      </c>
      <c r="F40" s="10">
        <v>135</v>
      </c>
      <c r="G40" s="10">
        <v>76</v>
      </c>
      <c r="H40" s="10" t="s">
        <v>191</v>
      </c>
      <c r="I40" s="10" t="str">
        <f>IF(COUNTIF(Subjects!$A$2:$A$82,A40)=0,"Subject not in register",IF(D40&lt;INDEX(Subjects!$C$2:$C$82,MATCH(A40,Subjects!$A$2:$A$82,0)),"Visit before enrollment",IF(H40="Missed","Missed visit",IF(H40="Scheduled","OK",IF(E40="","Missing weight",IF(OR(E40&lt;'Check Rules'!$B$5,E40&gt;'Check Rules'!$B$6),"Weight out of range",IF(OR(F40&lt;'Check Rules'!$B$7,F40&gt;'Check Rules'!$B$8),"Systolic BP out of range",IF(OR(G40&lt;'Check Rules'!$B$9,G40&gt;'Check Rules'!$B$10),"Diastolic BP out of range",IF(G40&gt;=F40,"Diastolic &gt;= systolic","OK")))))))))</f>
        <v>OK</v>
      </c>
    </row>
    <row r="41" spans="1:9" x14ac:dyDescent="0.25">
      <c r="A41" s="10" t="s">
        <v>115</v>
      </c>
      <c r="B41" s="10" t="s">
        <v>77</v>
      </c>
      <c r="C41" s="10" t="s">
        <v>193</v>
      </c>
      <c r="D41" s="19">
        <v>46097</v>
      </c>
      <c r="E41" s="10">
        <v>62.1</v>
      </c>
      <c r="F41" s="10">
        <v>139</v>
      </c>
      <c r="G41" s="10">
        <v>76</v>
      </c>
      <c r="H41" s="10" t="s">
        <v>191</v>
      </c>
      <c r="I41" s="10" t="str">
        <f>IF(COUNTIF(Subjects!$A$2:$A$82,A41)=0,"Subject not in register",IF(D41&lt;INDEX(Subjects!$C$2:$C$82,MATCH(A41,Subjects!$A$2:$A$82,0)),"Visit before enrollment",IF(H41="Missed","Missed visit",IF(H41="Scheduled","OK",IF(E41="","Missing weight",IF(OR(E41&lt;'Check Rules'!$B$5,E41&gt;'Check Rules'!$B$6),"Weight out of range",IF(OR(F41&lt;'Check Rules'!$B$7,F41&gt;'Check Rules'!$B$8),"Systolic BP out of range",IF(OR(G41&lt;'Check Rules'!$B$9,G41&gt;'Check Rules'!$B$10),"Diastolic BP out of range",IF(G41&gt;=F41,"Diastolic &gt;= systolic","OK")))))))))</f>
        <v>OK</v>
      </c>
    </row>
    <row r="42" spans="1:9" x14ac:dyDescent="0.25">
      <c r="A42" s="10" t="s">
        <v>115</v>
      </c>
      <c r="B42" s="10" t="s">
        <v>77</v>
      </c>
      <c r="C42" s="10" t="s">
        <v>194</v>
      </c>
      <c r="D42" s="19">
        <v>46125</v>
      </c>
      <c r="E42" s="10">
        <v>62.2</v>
      </c>
      <c r="F42" s="10">
        <v>137</v>
      </c>
      <c r="G42" s="10">
        <v>75</v>
      </c>
      <c r="H42" s="10" t="s">
        <v>191</v>
      </c>
      <c r="I42" s="10" t="str">
        <f>IF(COUNTIF(Subjects!$A$2:$A$82,A42)=0,"Subject not in register",IF(D42&lt;INDEX(Subjects!$C$2:$C$82,MATCH(A42,Subjects!$A$2:$A$82,0)),"Visit before enrollment",IF(H42="Missed","Missed visit",IF(H42="Scheduled","OK",IF(E42="","Missing weight",IF(OR(E42&lt;'Check Rules'!$B$5,E42&gt;'Check Rules'!$B$6),"Weight out of range",IF(OR(F42&lt;'Check Rules'!$B$7,F42&gt;'Check Rules'!$B$8),"Systolic BP out of range",IF(OR(G42&lt;'Check Rules'!$B$9,G42&gt;'Check Rules'!$B$10),"Diastolic BP out of range",IF(G42&gt;=F42,"Diastolic &gt;= systolic","OK")))))))))</f>
        <v>OK</v>
      </c>
    </row>
    <row r="43" spans="1:9" x14ac:dyDescent="0.25">
      <c r="A43" s="10" t="s">
        <v>116</v>
      </c>
      <c r="B43" s="10" t="s">
        <v>76</v>
      </c>
      <c r="C43" s="10" t="s">
        <v>190</v>
      </c>
      <c r="D43" s="19">
        <v>46040</v>
      </c>
      <c r="E43" s="10">
        <v>72.099999999999994</v>
      </c>
      <c r="F43" s="10">
        <v>139</v>
      </c>
      <c r="G43" s="10">
        <v>83</v>
      </c>
      <c r="H43" s="10" t="s">
        <v>191</v>
      </c>
      <c r="I43" s="10" t="str">
        <f>IF(COUNTIF(Subjects!$A$2:$A$82,A43)=0,"Subject not in register",IF(D43&lt;INDEX(Subjects!$C$2:$C$82,MATCH(A43,Subjects!$A$2:$A$82,0)),"Visit before enrollment",IF(H43="Missed","Missed visit",IF(H43="Scheduled","OK",IF(E43="","Missing weight",IF(OR(E43&lt;'Check Rules'!$B$5,E43&gt;'Check Rules'!$B$6),"Weight out of range",IF(OR(F43&lt;'Check Rules'!$B$7,F43&gt;'Check Rules'!$B$8),"Systolic BP out of range",IF(OR(G43&lt;'Check Rules'!$B$9,G43&gt;'Check Rules'!$B$10),"Diastolic BP out of range",IF(G43&gt;=F43,"Diastolic &gt;= systolic","OK")))))))))</f>
        <v>OK</v>
      </c>
    </row>
    <row r="44" spans="1:9" x14ac:dyDescent="0.25">
      <c r="A44" s="10" t="s">
        <v>116</v>
      </c>
      <c r="B44" s="10" t="s">
        <v>76</v>
      </c>
      <c r="C44" s="10" t="s">
        <v>192</v>
      </c>
      <c r="D44" s="19">
        <v>46042</v>
      </c>
      <c r="E44" s="10">
        <v>71.900000000000006</v>
      </c>
      <c r="F44" s="10">
        <v>136</v>
      </c>
      <c r="G44" s="10">
        <v>69</v>
      </c>
      <c r="H44" s="10" t="s">
        <v>191</v>
      </c>
      <c r="I44" s="10" t="str">
        <f>IF(COUNTIF(Subjects!$A$2:$A$82,A44)=0,"Subject not in register",IF(D44&lt;INDEX(Subjects!$C$2:$C$82,MATCH(A44,Subjects!$A$2:$A$82,0)),"Visit before enrollment",IF(H44="Missed","Missed visit",IF(H44="Scheduled","OK",IF(E44="","Missing weight",IF(OR(E44&lt;'Check Rules'!$B$5,E44&gt;'Check Rules'!$B$6),"Weight out of range",IF(OR(F44&lt;'Check Rules'!$B$7,F44&gt;'Check Rules'!$B$8),"Systolic BP out of range",IF(OR(G44&lt;'Check Rules'!$B$9,G44&gt;'Check Rules'!$B$10),"Diastolic BP out of range",IF(G44&gt;=F44,"Diastolic &gt;= systolic","OK")))))))))</f>
        <v>OK</v>
      </c>
    </row>
    <row r="45" spans="1:9" x14ac:dyDescent="0.25">
      <c r="A45" s="10" t="s">
        <v>116</v>
      </c>
      <c r="B45" s="10" t="s">
        <v>76</v>
      </c>
      <c r="C45" s="10" t="s">
        <v>193</v>
      </c>
      <c r="D45" s="19">
        <v>46070</v>
      </c>
      <c r="E45" s="10">
        <v>72.3</v>
      </c>
      <c r="F45" s="10">
        <v>124</v>
      </c>
      <c r="G45" s="10">
        <v>70</v>
      </c>
      <c r="H45" s="10" t="s">
        <v>191</v>
      </c>
      <c r="I45" s="10" t="str">
        <f>IF(COUNTIF(Subjects!$A$2:$A$82,A45)=0,"Subject not in register",IF(D45&lt;INDEX(Subjects!$C$2:$C$82,MATCH(A45,Subjects!$A$2:$A$82,0)),"Visit before enrollment",IF(H45="Missed","Missed visit",IF(H45="Scheduled","OK",IF(E45="","Missing weight",IF(OR(E45&lt;'Check Rules'!$B$5,E45&gt;'Check Rules'!$B$6),"Weight out of range",IF(OR(F45&lt;'Check Rules'!$B$7,F45&gt;'Check Rules'!$B$8),"Systolic BP out of range",IF(OR(G45&lt;'Check Rules'!$B$9,G45&gt;'Check Rules'!$B$10),"Diastolic BP out of range",IF(G45&gt;=F45,"Diastolic &gt;= systolic","OK")))))))))</f>
        <v>OK</v>
      </c>
    </row>
    <row r="46" spans="1:9" x14ac:dyDescent="0.25">
      <c r="A46" s="10" t="s">
        <v>117</v>
      </c>
      <c r="B46" s="10" t="s">
        <v>75</v>
      </c>
      <c r="C46" s="10" t="s">
        <v>190</v>
      </c>
      <c r="D46" s="19">
        <v>46061</v>
      </c>
      <c r="E46" s="10">
        <v>69.3</v>
      </c>
      <c r="F46" s="10">
        <v>131</v>
      </c>
      <c r="G46" s="10">
        <v>80</v>
      </c>
      <c r="H46" s="10" t="s">
        <v>191</v>
      </c>
      <c r="I46" s="10" t="str">
        <f>IF(COUNTIF(Subjects!$A$2:$A$82,A46)=0,"Subject not in register",IF(D46&lt;INDEX(Subjects!$C$2:$C$82,MATCH(A46,Subjects!$A$2:$A$82,0)),"Visit before enrollment",IF(H46="Missed","Missed visit",IF(H46="Scheduled","OK",IF(E46="","Missing weight",IF(OR(E46&lt;'Check Rules'!$B$5,E46&gt;'Check Rules'!$B$6),"Weight out of range",IF(OR(F46&lt;'Check Rules'!$B$7,F46&gt;'Check Rules'!$B$8),"Systolic BP out of range",IF(OR(G46&lt;'Check Rules'!$B$9,G46&gt;'Check Rules'!$B$10),"Diastolic BP out of range",IF(G46&gt;=F46,"Diastolic &gt;= systolic","OK")))))))))</f>
        <v>OK</v>
      </c>
    </row>
    <row r="47" spans="1:9" x14ac:dyDescent="0.25">
      <c r="A47" s="10" t="s">
        <v>117</v>
      </c>
      <c r="B47" s="10" t="s">
        <v>75</v>
      </c>
      <c r="C47" s="10" t="s">
        <v>192</v>
      </c>
      <c r="D47" s="19">
        <v>46063</v>
      </c>
      <c r="E47" s="10">
        <v>71.2</v>
      </c>
      <c r="F47" s="10">
        <v>125</v>
      </c>
      <c r="G47" s="10">
        <v>78</v>
      </c>
      <c r="H47" s="10" t="s">
        <v>191</v>
      </c>
      <c r="I47" s="10" t="str">
        <f>IF(COUNTIF(Subjects!$A$2:$A$82,A47)=0,"Subject not in register",IF(D47&lt;INDEX(Subjects!$C$2:$C$82,MATCH(A47,Subjects!$A$2:$A$82,0)),"Visit before enrollment",IF(H47="Missed","Missed visit",IF(H47="Scheduled","OK",IF(E47="","Missing weight",IF(OR(E47&lt;'Check Rules'!$B$5,E47&gt;'Check Rules'!$B$6),"Weight out of range",IF(OR(F47&lt;'Check Rules'!$B$7,F47&gt;'Check Rules'!$B$8),"Systolic BP out of range",IF(OR(G47&lt;'Check Rules'!$B$9,G47&gt;'Check Rules'!$B$10),"Diastolic BP out of range",IF(G47&gt;=F47,"Diastolic &gt;= systolic","OK")))))))))</f>
        <v>OK</v>
      </c>
    </row>
    <row r="48" spans="1:9" x14ac:dyDescent="0.25">
      <c r="A48" s="10" t="s">
        <v>118</v>
      </c>
      <c r="B48" s="10" t="s">
        <v>77</v>
      </c>
      <c r="C48" s="10" t="s">
        <v>190</v>
      </c>
      <c r="D48" s="19">
        <v>46044</v>
      </c>
      <c r="E48" s="10">
        <v>56.7</v>
      </c>
      <c r="F48" s="10">
        <v>300</v>
      </c>
      <c r="G48" s="10">
        <v>90</v>
      </c>
      <c r="H48" s="10" t="s">
        <v>191</v>
      </c>
      <c r="I48" s="10" t="str">
        <f>IF(COUNTIF(Subjects!$A$2:$A$82,A48)=0,"Subject not in register",IF(D48&lt;INDEX(Subjects!$C$2:$C$82,MATCH(A48,Subjects!$A$2:$A$82,0)),"Visit before enrollment",IF(H48="Missed","Missed visit",IF(H48="Scheduled","OK",IF(E48="","Missing weight",IF(OR(E48&lt;'Check Rules'!$B$5,E48&gt;'Check Rules'!$B$6),"Weight out of range",IF(OR(F48&lt;'Check Rules'!$B$7,F48&gt;'Check Rules'!$B$8),"Systolic BP out of range",IF(OR(G48&lt;'Check Rules'!$B$9,G48&gt;'Check Rules'!$B$10),"Diastolic BP out of range",IF(G48&gt;=F48,"Diastolic &gt;= systolic","OK")))))))))</f>
        <v>Systolic BP out of range</v>
      </c>
    </row>
    <row r="49" spans="1:9" x14ac:dyDescent="0.25">
      <c r="A49" s="10" t="s">
        <v>118</v>
      </c>
      <c r="B49" s="10" t="s">
        <v>77</v>
      </c>
      <c r="C49" s="10" t="s">
        <v>192</v>
      </c>
      <c r="D49" s="19">
        <v>46046</v>
      </c>
      <c r="E49" s="10">
        <v>57.2</v>
      </c>
      <c r="F49" s="10">
        <v>120</v>
      </c>
      <c r="G49" s="10">
        <v>89</v>
      </c>
      <c r="H49" s="10" t="s">
        <v>191</v>
      </c>
      <c r="I49" s="10" t="str">
        <f>IF(COUNTIF(Subjects!$A$2:$A$82,A49)=0,"Subject not in register",IF(D49&lt;INDEX(Subjects!$C$2:$C$82,MATCH(A49,Subjects!$A$2:$A$82,0)),"Visit before enrollment",IF(H49="Missed","Missed visit",IF(H49="Scheduled","OK",IF(E49="","Missing weight",IF(OR(E49&lt;'Check Rules'!$B$5,E49&gt;'Check Rules'!$B$6),"Weight out of range",IF(OR(F49&lt;'Check Rules'!$B$7,F49&gt;'Check Rules'!$B$8),"Systolic BP out of range",IF(OR(G49&lt;'Check Rules'!$B$9,G49&gt;'Check Rules'!$B$10),"Diastolic BP out of range",IF(G49&gt;=F49,"Diastolic &gt;= systolic","OK")))))))))</f>
        <v>OK</v>
      </c>
    </row>
    <row r="50" spans="1:9" x14ac:dyDescent="0.25">
      <c r="A50" s="10" t="s">
        <v>118</v>
      </c>
      <c r="B50" s="10" t="s">
        <v>77</v>
      </c>
      <c r="C50" s="10" t="s">
        <v>193</v>
      </c>
      <c r="D50" s="19">
        <v>46074</v>
      </c>
      <c r="E50" s="10">
        <v>56.4</v>
      </c>
      <c r="F50" s="10">
        <v>120</v>
      </c>
      <c r="G50" s="10">
        <v>90</v>
      </c>
      <c r="H50" s="10" t="s">
        <v>191</v>
      </c>
      <c r="I50" s="10" t="str">
        <f>IF(COUNTIF(Subjects!$A$2:$A$82,A50)=0,"Subject not in register",IF(D50&lt;INDEX(Subjects!$C$2:$C$82,MATCH(A50,Subjects!$A$2:$A$82,0)),"Visit before enrollment",IF(H50="Missed","Missed visit",IF(H50="Scheduled","OK",IF(E50="","Missing weight",IF(OR(E50&lt;'Check Rules'!$B$5,E50&gt;'Check Rules'!$B$6),"Weight out of range",IF(OR(F50&lt;'Check Rules'!$B$7,F50&gt;'Check Rules'!$B$8),"Systolic BP out of range",IF(OR(G50&lt;'Check Rules'!$B$9,G50&gt;'Check Rules'!$B$10),"Diastolic BP out of range",IF(G50&gt;=F50,"Diastolic &gt;= systolic","OK")))))))))</f>
        <v>OK</v>
      </c>
    </row>
    <row r="51" spans="1:9" x14ac:dyDescent="0.25">
      <c r="A51" s="10" t="s">
        <v>118</v>
      </c>
      <c r="B51" s="10" t="s">
        <v>77</v>
      </c>
      <c r="C51" s="10" t="s">
        <v>194</v>
      </c>
      <c r="D51" s="19">
        <v>46102</v>
      </c>
      <c r="E51" s="10">
        <v>58.2</v>
      </c>
      <c r="F51" s="10">
        <v>134</v>
      </c>
      <c r="G51" s="10">
        <v>94</v>
      </c>
      <c r="H51" s="10" t="s">
        <v>191</v>
      </c>
      <c r="I51" s="10" t="str">
        <f>IF(COUNTIF(Subjects!$A$2:$A$82,A51)=0,"Subject not in register",IF(D51&lt;INDEX(Subjects!$C$2:$C$82,MATCH(A51,Subjects!$A$2:$A$82,0)),"Visit before enrollment",IF(H51="Missed","Missed visit",IF(H51="Scheduled","OK",IF(E51="","Missing weight",IF(OR(E51&lt;'Check Rules'!$B$5,E51&gt;'Check Rules'!$B$6),"Weight out of range",IF(OR(F51&lt;'Check Rules'!$B$7,F51&gt;'Check Rules'!$B$8),"Systolic BP out of range",IF(OR(G51&lt;'Check Rules'!$B$9,G51&gt;'Check Rules'!$B$10),"Diastolic BP out of range",IF(G51&gt;=F51,"Diastolic &gt;= systolic","OK")))))))))</f>
        <v>OK</v>
      </c>
    </row>
    <row r="52" spans="1:9" x14ac:dyDescent="0.25">
      <c r="A52" s="10" t="s">
        <v>118</v>
      </c>
      <c r="B52" s="10" t="s">
        <v>77</v>
      </c>
      <c r="C52" s="10" t="s">
        <v>195</v>
      </c>
      <c r="D52" s="19">
        <v>46130</v>
      </c>
      <c r="E52" s="10">
        <v>57.2</v>
      </c>
      <c r="F52" s="10">
        <v>124</v>
      </c>
      <c r="G52" s="10">
        <v>92</v>
      </c>
      <c r="H52" s="10" t="s">
        <v>191</v>
      </c>
      <c r="I52" s="10" t="str">
        <f>IF(COUNTIF(Subjects!$A$2:$A$82,A52)=0,"Subject not in register",IF(D52&lt;INDEX(Subjects!$C$2:$C$82,MATCH(A52,Subjects!$A$2:$A$82,0)),"Visit before enrollment",IF(H52="Missed","Missed visit",IF(H52="Scheduled","OK",IF(E52="","Missing weight",IF(OR(E52&lt;'Check Rules'!$B$5,E52&gt;'Check Rules'!$B$6),"Weight out of range",IF(OR(F52&lt;'Check Rules'!$B$7,F52&gt;'Check Rules'!$B$8),"Systolic BP out of range",IF(OR(G52&lt;'Check Rules'!$B$9,G52&gt;'Check Rules'!$B$10),"Diastolic BP out of range",IF(G52&gt;=F52,"Diastolic &gt;= systolic","OK")))))))))</f>
        <v>OK</v>
      </c>
    </row>
    <row r="53" spans="1:9" x14ac:dyDescent="0.25">
      <c r="A53" s="10" t="s">
        <v>119</v>
      </c>
      <c r="B53" s="10" t="s">
        <v>75</v>
      </c>
      <c r="C53" s="10" t="s">
        <v>190</v>
      </c>
      <c r="D53" s="19">
        <v>46029</v>
      </c>
      <c r="E53" s="10">
        <v>52.4</v>
      </c>
      <c r="F53" s="10">
        <v>133</v>
      </c>
      <c r="G53" s="10">
        <v>79</v>
      </c>
      <c r="H53" s="10" t="s">
        <v>191</v>
      </c>
      <c r="I53" s="10" t="str">
        <f>IF(COUNTIF(Subjects!$A$2:$A$82,A53)=0,"Subject not in register",IF(D53&lt;INDEX(Subjects!$C$2:$C$82,MATCH(A53,Subjects!$A$2:$A$82,0)),"Visit before enrollment",IF(H53="Missed","Missed visit",IF(H53="Scheduled","OK",IF(E53="","Missing weight",IF(OR(E53&lt;'Check Rules'!$B$5,E53&gt;'Check Rules'!$B$6),"Weight out of range",IF(OR(F53&lt;'Check Rules'!$B$7,F53&gt;'Check Rules'!$B$8),"Systolic BP out of range",IF(OR(G53&lt;'Check Rules'!$B$9,G53&gt;'Check Rules'!$B$10),"Diastolic BP out of range",IF(G53&gt;=F53,"Diastolic &gt;= systolic","OK")))))))))</f>
        <v>OK</v>
      </c>
    </row>
    <row r="54" spans="1:9" x14ac:dyDescent="0.25">
      <c r="A54" s="10" t="s">
        <v>119</v>
      </c>
      <c r="B54" s="10" t="s">
        <v>75</v>
      </c>
      <c r="C54" s="10" t="s">
        <v>192</v>
      </c>
      <c r="D54" s="19">
        <v>46031</v>
      </c>
      <c r="E54" s="10">
        <v>53.3</v>
      </c>
      <c r="F54" s="10">
        <v>127</v>
      </c>
      <c r="G54" s="10">
        <v>84</v>
      </c>
      <c r="H54" s="10" t="s">
        <v>191</v>
      </c>
      <c r="I54" s="10" t="str">
        <f>IF(COUNTIF(Subjects!$A$2:$A$82,A54)=0,"Subject not in register",IF(D54&lt;INDEX(Subjects!$C$2:$C$82,MATCH(A54,Subjects!$A$2:$A$82,0)),"Visit before enrollment",IF(H54="Missed","Missed visit",IF(H54="Scheduled","OK",IF(E54="","Missing weight",IF(OR(E54&lt;'Check Rules'!$B$5,E54&gt;'Check Rules'!$B$6),"Weight out of range",IF(OR(F54&lt;'Check Rules'!$B$7,F54&gt;'Check Rules'!$B$8),"Systolic BP out of range",IF(OR(G54&lt;'Check Rules'!$B$9,G54&gt;'Check Rules'!$B$10),"Diastolic BP out of range",IF(G54&gt;=F54,"Diastolic &gt;= systolic","OK")))))))))</f>
        <v>OK</v>
      </c>
    </row>
    <row r="55" spans="1:9" x14ac:dyDescent="0.25">
      <c r="A55" s="10" t="s">
        <v>119</v>
      </c>
      <c r="B55" s="10" t="s">
        <v>75</v>
      </c>
      <c r="C55" s="10" t="s">
        <v>193</v>
      </c>
      <c r="D55" s="19">
        <v>46059</v>
      </c>
      <c r="E55" s="10">
        <v>52</v>
      </c>
      <c r="F55" s="10">
        <v>137</v>
      </c>
      <c r="G55" s="10">
        <v>85</v>
      </c>
      <c r="H55" s="10" t="s">
        <v>191</v>
      </c>
      <c r="I55" s="10" t="str">
        <f>IF(COUNTIF(Subjects!$A$2:$A$82,A55)=0,"Subject not in register",IF(D55&lt;INDEX(Subjects!$C$2:$C$82,MATCH(A55,Subjects!$A$2:$A$82,0)),"Visit before enrollment",IF(H55="Missed","Missed visit",IF(H55="Scheduled","OK",IF(E55="","Missing weight",IF(OR(E55&lt;'Check Rules'!$B$5,E55&gt;'Check Rules'!$B$6),"Weight out of range",IF(OR(F55&lt;'Check Rules'!$B$7,F55&gt;'Check Rules'!$B$8),"Systolic BP out of range",IF(OR(G55&lt;'Check Rules'!$B$9,G55&gt;'Check Rules'!$B$10),"Diastolic BP out of range",IF(G55&gt;=F55,"Diastolic &gt;= systolic","OK")))))))))</f>
        <v>OK</v>
      </c>
    </row>
    <row r="56" spans="1:9" x14ac:dyDescent="0.25">
      <c r="A56" s="10" t="s">
        <v>119</v>
      </c>
      <c r="B56" s="10" t="s">
        <v>75</v>
      </c>
      <c r="C56" s="10" t="s">
        <v>194</v>
      </c>
      <c r="D56" s="19">
        <v>46087</v>
      </c>
      <c r="E56" s="10">
        <v>53.7</v>
      </c>
      <c r="F56" s="10">
        <v>131</v>
      </c>
      <c r="G56" s="10">
        <v>82</v>
      </c>
      <c r="H56" s="10" t="s">
        <v>191</v>
      </c>
      <c r="I56" s="10" t="str">
        <f>IF(COUNTIF(Subjects!$A$2:$A$82,A56)=0,"Subject not in register",IF(D56&lt;INDEX(Subjects!$C$2:$C$82,MATCH(A56,Subjects!$A$2:$A$82,0)),"Visit before enrollment",IF(H56="Missed","Missed visit",IF(H56="Scheduled","OK",IF(E56="","Missing weight",IF(OR(E56&lt;'Check Rules'!$B$5,E56&gt;'Check Rules'!$B$6),"Weight out of range",IF(OR(F56&lt;'Check Rules'!$B$7,F56&gt;'Check Rules'!$B$8),"Systolic BP out of range",IF(OR(G56&lt;'Check Rules'!$B$9,G56&gt;'Check Rules'!$B$10),"Diastolic BP out of range",IF(G56&gt;=F56,"Diastolic &gt;= systolic","OK")))))))))</f>
        <v>OK</v>
      </c>
    </row>
    <row r="57" spans="1:9" x14ac:dyDescent="0.25">
      <c r="A57" s="10" t="s">
        <v>120</v>
      </c>
      <c r="B57" s="10" t="s">
        <v>74</v>
      </c>
      <c r="C57" s="10" t="s">
        <v>190</v>
      </c>
      <c r="D57" s="19">
        <v>46040</v>
      </c>
      <c r="E57" s="10">
        <v>64.5</v>
      </c>
      <c r="F57" s="10">
        <v>146</v>
      </c>
      <c r="G57" s="10">
        <v>89</v>
      </c>
      <c r="H57" s="10" t="s">
        <v>191</v>
      </c>
      <c r="I57" s="10" t="str">
        <f>IF(COUNTIF(Subjects!$A$2:$A$82,A57)=0,"Subject not in register",IF(D57&lt;INDEX(Subjects!$C$2:$C$82,MATCH(A57,Subjects!$A$2:$A$82,0)),"Visit before enrollment",IF(H57="Missed","Missed visit",IF(H57="Scheduled","OK",IF(E57="","Missing weight",IF(OR(E57&lt;'Check Rules'!$B$5,E57&gt;'Check Rules'!$B$6),"Weight out of range",IF(OR(F57&lt;'Check Rules'!$B$7,F57&gt;'Check Rules'!$B$8),"Systolic BP out of range",IF(OR(G57&lt;'Check Rules'!$B$9,G57&gt;'Check Rules'!$B$10),"Diastolic BP out of range",IF(G57&gt;=F57,"Diastolic &gt;= systolic","OK")))))))))</f>
        <v>OK</v>
      </c>
    </row>
    <row r="58" spans="1:9" x14ac:dyDescent="0.25">
      <c r="A58" s="10" t="s">
        <v>120</v>
      </c>
      <c r="B58" s="10" t="s">
        <v>74</v>
      </c>
      <c r="C58" s="10" t="s">
        <v>192</v>
      </c>
      <c r="D58" s="19">
        <v>46042</v>
      </c>
      <c r="E58" s="10">
        <v>64.900000000000006</v>
      </c>
      <c r="F58" s="10">
        <v>141</v>
      </c>
      <c r="G58" s="10">
        <v>82</v>
      </c>
      <c r="H58" s="10" t="s">
        <v>191</v>
      </c>
      <c r="I58" s="10" t="str">
        <f>IF(COUNTIF(Subjects!$A$2:$A$82,A58)=0,"Subject not in register",IF(D58&lt;INDEX(Subjects!$C$2:$C$82,MATCH(A58,Subjects!$A$2:$A$82,0)),"Visit before enrollment",IF(H58="Missed","Missed visit",IF(H58="Scheduled","OK",IF(E58="","Missing weight",IF(OR(E58&lt;'Check Rules'!$B$5,E58&gt;'Check Rules'!$B$6),"Weight out of range",IF(OR(F58&lt;'Check Rules'!$B$7,F58&gt;'Check Rules'!$B$8),"Systolic BP out of range",IF(OR(G58&lt;'Check Rules'!$B$9,G58&gt;'Check Rules'!$B$10),"Diastolic BP out of range",IF(G58&gt;=F58,"Diastolic &gt;= systolic","OK")))))))))</f>
        <v>OK</v>
      </c>
    </row>
    <row r="59" spans="1:9" x14ac:dyDescent="0.25">
      <c r="A59" s="10" t="s">
        <v>120</v>
      </c>
      <c r="B59" s="10" t="s">
        <v>74</v>
      </c>
      <c r="C59" s="10" t="s">
        <v>193</v>
      </c>
      <c r="D59" s="19">
        <v>46070</v>
      </c>
      <c r="E59" s="10">
        <v>65.400000000000006</v>
      </c>
      <c r="F59" s="10">
        <v>151</v>
      </c>
      <c r="G59" s="10">
        <v>78</v>
      </c>
      <c r="H59" s="10" t="s">
        <v>191</v>
      </c>
      <c r="I59" s="10" t="str">
        <f>IF(COUNTIF(Subjects!$A$2:$A$82,A59)=0,"Subject not in register",IF(D59&lt;INDEX(Subjects!$C$2:$C$82,MATCH(A59,Subjects!$A$2:$A$82,0)),"Visit before enrollment",IF(H59="Missed","Missed visit",IF(H59="Scheduled","OK",IF(E59="","Missing weight",IF(OR(E59&lt;'Check Rules'!$B$5,E59&gt;'Check Rules'!$B$6),"Weight out of range",IF(OR(F59&lt;'Check Rules'!$B$7,F59&gt;'Check Rules'!$B$8),"Systolic BP out of range",IF(OR(G59&lt;'Check Rules'!$B$9,G59&gt;'Check Rules'!$B$10),"Diastolic BP out of range",IF(G59&gt;=F59,"Diastolic &gt;= systolic","OK")))))))))</f>
        <v>OK</v>
      </c>
    </row>
    <row r="60" spans="1:9" x14ac:dyDescent="0.25">
      <c r="A60" s="10" t="s">
        <v>121</v>
      </c>
      <c r="B60" s="10" t="s">
        <v>77</v>
      </c>
      <c r="C60" s="10" t="s">
        <v>190</v>
      </c>
      <c r="D60" s="19">
        <v>46052</v>
      </c>
      <c r="E60" s="10">
        <v>57.3</v>
      </c>
      <c r="F60" s="10">
        <v>130</v>
      </c>
      <c r="G60" s="10">
        <v>89</v>
      </c>
      <c r="H60" s="10" t="s">
        <v>191</v>
      </c>
      <c r="I60" s="10" t="str">
        <f>IF(COUNTIF(Subjects!$A$2:$A$82,A60)=0,"Subject not in register",IF(D60&lt;INDEX(Subjects!$C$2:$C$82,MATCH(A60,Subjects!$A$2:$A$82,0)),"Visit before enrollment",IF(H60="Missed","Missed visit",IF(H60="Scheduled","OK",IF(E60="","Missing weight",IF(OR(E60&lt;'Check Rules'!$B$5,E60&gt;'Check Rules'!$B$6),"Weight out of range",IF(OR(F60&lt;'Check Rules'!$B$7,F60&gt;'Check Rules'!$B$8),"Systolic BP out of range",IF(OR(G60&lt;'Check Rules'!$B$9,G60&gt;'Check Rules'!$B$10),"Diastolic BP out of range",IF(G60&gt;=F60,"Diastolic &gt;= systolic","OK")))))))))</f>
        <v>OK</v>
      </c>
    </row>
    <row r="61" spans="1:9" x14ac:dyDescent="0.25">
      <c r="A61" s="10" t="s">
        <v>121</v>
      </c>
      <c r="B61" s="10" t="s">
        <v>77</v>
      </c>
      <c r="C61" s="10" t="s">
        <v>192</v>
      </c>
      <c r="D61" s="19">
        <v>46054</v>
      </c>
      <c r="E61" s="10">
        <v>59.6</v>
      </c>
      <c r="F61" s="10">
        <v>125</v>
      </c>
      <c r="G61" s="10">
        <v>80</v>
      </c>
      <c r="H61" s="10" t="s">
        <v>191</v>
      </c>
      <c r="I61" s="10" t="str">
        <f>IF(COUNTIF(Subjects!$A$2:$A$82,A61)=0,"Subject not in register",IF(D61&lt;INDEX(Subjects!$C$2:$C$82,MATCH(A61,Subjects!$A$2:$A$82,0)),"Visit before enrollment",IF(H61="Missed","Missed visit",IF(H61="Scheduled","OK",IF(E61="","Missing weight",IF(OR(E61&lt;'Check Rules'!$B$5,E61&gt;'Check Rules'!$B$6),"Weight out of range",IF(OR(F61&lt;'Check Rules'!$B$7,F61&gt;'Check Rules'!$B$8),"Systolic BP out of range",IF(OR(G61&lt;'Check Rules'!$B$9,G61&gt;'Check Rules'!$B$10),"Diastolic BP out of range",IF(G61&gt;=F61,"Diastolic &gt;= systolic","OK")))))))))</f>
        <v>OK</v>
      </c>
    </row>
    <row r="62" spans="1:9" x14ac:dyDescent="0.25">
      <c r="A62" s="10" t="s">
        <v>121</v>
      </c>
      <c r="B62" s="10" t="s">
        <v>77</v>
      </c>
      <c r="C62" s="10" t="s">
        <v>193</v>
      </c>
      <c r="D62" s="19">
        <v>46082</v>
      </c>
      <c r="E62" s="10">
        <v>57.1</v>
      </c>
      <c r="F62" s="10">
        <v>126</v>
      </c>
      <c r="G62" s="10">
        <v>90</v>
      </c>
      <c r="H62" s="10" t="s">
        <v>191</v>
      </c>
      <c r="I62" s="10" t="str">
        <f>IF(COUNTIF(Subjects!$A$2:$A$82,A62)=0,"Subject not in register",IF(D62&lt;INDEX(Subjects!$C$2:$C$82,MATCH(A62,Subjects!$A$2:$A$82,0)),"Visit before enrollment",IF(H62="Missed","Missed visit",IF(H62="Scheduled","OK",IF(E62="","Missing weight",IF(OR(E62&lt;'Check Rules'!$B$5,E62&gt;'Check Rules'!$B$6),"Weight out of range",IF(OR(F62&lt;'Check Rules'!$B$7,F62&gt;'Check Rules'!$B$8),"Systolic BP out of range",IF(OR(G62&lt;'Check Rules'!$B$9,G62&gt;'Check Rules'!$B$10),"Diastolic BP out of range",IF(G62&gt;=F62,"Diastolic &gt;= systolic","OK")))))))))</f>
        <v>OK</v>
      </c>
    </row>
    <row r="63" spans="1:9" x14ac:dyDescent="0.25">
      <c r="A63" s="10" t="s">
        <v>121</v>
      </c>
      <c r="B63" s="10" t="s">
        <v>77</v>
      </c>
      <c r="C63" s="10" t="s">
        <v>194</v>
      </c>
      <c r="D63" s="19">
        <v>46110</v>
      </c>
      <c r="E63" s="10">
        <v>57.3</v>
      </c>
      <c r="F63" s="10">
        <v>128</v>
      </c>
      <c r="G63" s="10">
        <v>77</v>
      </c>
      <c r="H63" s="10" t="s">
        <v>191</v>
      </c>
      <c r="I63" s="10" t="str">
        <f>IF(COUNTIF(Subjects!$A$2:$A$82,A63)=0,"Subject not in register",IF(D63&lt;INDEX(Subjects!$C$2:$C$82,MATCH(A63,Subjects!$A$2:$A$82,0)),"Visit before enrollment",IF(H63="Missed","Missed visit",IF(H63="Scheduled","OK",IF(E63="","Missing weight",IF(OR(E63&lt;'Check Rules'!$B$5,E63&gt;'Check Rules'!$B$6),"Weight out of range",IF(OR(F63&lt;'Check Rules'!$B$7,F63&gt;'Check Rules'!$B$8),"Systolic BP out of range",IF(OR(G63&lt;'Check Rules'!$B$9,G63&gt;'Check Rules'!$B$10),"Diastolic BP out of range",IF(G63&gt;=F63,"Diastolic &gt;= systolic","OK")))))))))</f>
        <v>OK</v>
      </c>
    </row>
    <row r="64" spans="1:9" x14ac:dyDescent="0.25">
      <c r="A64" s="10" t="s">
        <v>122</v>
      </c>
      <c r="B64" s="10" t="s">
        <v>75</v>
      </c>
      <c r="C64" s="10" t="s">
        <v>190</v>
      </c>
      <c r="D64" s="19">
        <v>46042</v>
      </c>
      <c r="E64" s="10">
        <v>70.599999999999994</v>
      </c>
      <c r="F64" s="10">
        <v>139</v>
      </c>
      <c r="G64" s="10">
        <v>75</v>
      </c>
      <c r="H64" s="10" t="s">
        <v>191</v>
      </c>
      <c r="I64" s="10" t="str">
        <f>IF(COUNTIF(Subjects!$A$2:$A$82,A64)=0,"Subject not in register",IF(D64&lt;INDEX(Subjects!$C$2:$C$82,MATCH(A64,Subjects!$A$2:$A$82,0)),"Visit before enrollment",IF(H64="Missed","Missed visit",IF(H64="Scheduled","OK",IF(E64="","Missing weight",IF(OR(E64&lt;'Check Rules'!$B$5,E64&gt;'Check Rules'!$B$6),"Weight out of range",IF(OR(F64&lt;'Check Rules'!$B$7,F64&gt;'Check Rules'!$B$8),"Systolic BP out of range",IF(OR(G64&lt;'Check Rules'!$B$9,G64&gt;'Check Rules'!$B$10),"Diastolic BP out of range",IF(G64&gt;=F64,"Diastolic &gt;= systolic","OK")))))))))</f>
        <v>OK</v>
      </c>
    </row>
    <row r="65" spans="1:9" x14ac:dyDescent="0.25">
      <c r="A65" s="10" t="s">
        <v>122</v>
      </c>
      <c r="B65" s="10" t="s">
        <v>75</v>
      </c>
      <c r="C65" s="10" t="s">
        <v>192</v>
      </c>
      <c r="D65" s="19">
        <v>46044</v>
      </c>
      <c r="E65" s="10">
        <v>69.3</v>
      </c>
      <c r="F65" s="10">
        <v>136</v>
      </c>
      <c r="G65" s="10">
        <v>75</v>
      </c>
      <c r="H65" s="10" t="s">
        <v>191</v>
      </c>
      <c r="I65" s="10" t="str">
        <f>IF(COUNTIF(Subjects!$A$2:$A$82,A65)=0,"Subject not in register",IF(D65&lt;INDEX(Subjects!$C$2:$C$82,MATCH(A65,Subjects!$A$2:$A$82,0)),"Visit before enrollment",IF(H65="Missed","Missed visit",IF(H65="Scheduled","OK",IF(E65="","Missing weight",IF(OR(E65&lt;'Check Rules'!$B$5,E65&gt;'Check Rules'!$B$6),"Weight out of range",IF(OR(F65&lt;'Check Rules'!$B$7,F65&gt;'Check Rules'!$B$8),"Systolic BP out of range",IF(OR(G65&lt;'Check Rules'!$B$9,G65&gt;'Check Rules'!$B$10),"Diastolic BP out of range",IF(G65&gt;=F65,"Diastolic &gt;= systolic","OK")))))))))</f>
        <v>OK</v>
      </c>
    </row>
    <row r="66" spans="1:9" x14ac:dyDescent="0.25">
      <c r="A66" s="10" t="s">
        <v>122</v>
      </c>
      <c r="B66" s="10" t="s">
        <v>75</v>
      </c>
      <c r="C66" s="10" t="s">
        <v>193</v>
      </c>
      <c r="D66" s="19">
        <v>46072</v>
      </c>
      <c r="E66" s="10">
        <v>69.3</v>
      </c>
      <c r="F66" s="10">
        <v>131</v>
      </c>
      <c r="G66" s="10">
        <v>79</v>
      </c>
      <c r="H66" s="10" t="s">
        <v>191</v>
      </c>
      <c r="I66" s="10" t="str">
        <f>IF(COUNTIF(Subjects!$A$2:$A$82,A66)=0,"Subject not in register",IF(D66&lt;INDEX(Subjects!$C$2:$C$82,MATCH(A66,Subjects!$A$2:$A$82,0)),"Visit before enrollment",IF(H66="Missed","Missed visit",IF(H66="Scheduled","OK",IF(E66="","Missing weight",IF(OR(E66&lt;'Check Rules'!$B$5,E66&gt;'Check Rules'!$B$6),"Weight out of range",IF(OR(F66&lt;'Check Rules'!$B$7,F66&gt;'Check Rules'!$B$8),"Systolic BP out of range",IF(OR(G66&lt;'Check Rules'!$B$9,G66&gt;'Check Rules'!$B$10),"Diastolic BP out of range",IF(G66&gt;=F66,"Diastolic &gt;= systolic","OK")))))))))</f>
        <v>OK</v>
      </c>
    </row>
    <row r="67" spans="1:9" x14ac:dyDescent="0.25">
      <c r="A67" s="10" t="s">
        <v>123</v>
      </c>
      <c r="B67" s="10" t="s">
        <v>77</v>
      </c>
      <c r="C67" s="10" t="s">
        <v>190</v>
      </c>
      <c r="D67" s="19">
        <v>46050</v>
      </c>
      <c r="E67" s="10">
        <v>79.2</v>
      </c>
      <c r="F67" s="10">
        <v>137</v>
      </c>
      <c r="G67" s="10">
        <v>74</v>
      </c>
      <c r="H67" s="10" t="s">
        <v>191</v>
      </c>
      <c r="I67" s="10" t="str">
        <f>IF(COUNTIF(Subjects!$A$2:$A$82,A67)=0,"Subject not in register",IF(D67&lt;INDEX(Subjects!$C$2:$C$82,MATCH(A67,Subjects!$A$2:$A$82,0)),"Visit before enrollment",IF(H67="Missed","Missed visit",IF(H67="Scheduled","OK",IF(E67="","Missing weight",IF(OR(E67&lt;'Check Rules'!$B$5,E67&gt;'Check Rules'!$B$6),"Weight out of range",IF(OR(F67&lt;'Check Rules'!$B$7,F67&gt;'Check Rules'!$B$8),"Systolic BP out of range",IF(OR(G67&lt;'Check Rules'!$B$9,G67&gt;'Check Rules'!$B$10),"Diastolic BP out of range",IF(G67&gt;=F67,"Diastolic &gt;= systolic","OK")))))))))</f>
        <v>OK</v>
      </c>
    </row>
    <row r="68" spans="1:9" x14ac:dyDescent="0.25">
      <c r="A68" s="10" t="s">
        <v>123</v>
      </c>
      <c r="B68" s="10" t="s">
        <v>77</v>
      </c>
      <c r="C68" s="10" t="s">
        <v>192</v>
      </c>
      <c r="D68" s="19">
        <v>46052</v>
      </c>
      <c r="E68" s="10">
        <v>80.7</v>
      </c>
      <c r="F68" s="10">
        <v>134</v>
      </c>
      <c r="G68" s="10">
        <v>75</v>
      </c>
      <c r="H68" s="10" t="s">
        <v>191</v>
      </c>
      <c r="I68" s="10" t="str">
        <f>IF(COUNTIF(Subjects!$A$2:$A$82,A68)=0,"Subject not in register",IF(D68&lt;INDEX(Subjects!$C$2:$C$82,MATCH(A68,Subjects!$A$2:$A$82,0)),"Visit before enrollment",IF(H68="Missed","Missed visit",IF(H68="Scheduled","OK",IF(E68="","Missing weight",IF(OR(E68&lt;'Check Rules'!$B$5,E68&gt;'Check Rules'!$B$6),"Weight out of range",IF(OR(F68&lt;'Check Rules'!$B$7,F68&gt;'Check Rules'!$B$8),"Systolic BP out of range",IF(OR(G68&lt;'Check Rules'!$B$9,G68&gt;'Check Rules'!$B$10),"Diastolic BP out of range",IF(G68&gt;=F68,"Diastolic &gt;= systolic","OK")))))))))</f>
        <v>OK</v>
      </c>
    </row>
    <row r="69" spans="1:9" x14ac:dyDescent="0.25">
      <c r="A69" s="10" t="s">
        <v>123</v>
      </c>
      <c r="B69" s="10" t="s">
        <v>77</v>
      </c>
      <c r="C69" s="10" t="s">
        <v>193</v>
      </c>
      <c r="D69" s="19">
        <v>46080</v>
      </c>
      <c r="E69" s="10">
        <v>79.5</v>
      </c>
      <c r="F69" s="10">
        <v>133</v>
      </c>
      <c r="G69" s="10">
        <v>75</v>
      </c>
      <c r="H69" s="10" t="s">
        <v>191</v>
      </c>
      <c r="I69" s="10" t="str">
        <f>IF(COUNTIF(Subjects!$A$2:$A$82,A69)=0,"Subject not in register",IF(D69&lt;INDEX(Subjects!$C$2:$C$82,MATCH(A69,Subjects!$A$2:$A$82,0)),"Visit before enrollment",IF(H69="Missed","Missed visit",IF(H69="Scheduled","OK",IF(E69="","Missing weight",IF(OR(E69&lt;'Check Rules'!$B$5,E69&gt;'Check Rules'!$B$6),"Weight out of range",IF(OR(F69&lt;'Check Rules'!$B$7,F69&gt;'Check Rules'!$B$8),"Systolic BP out of range",IF(OR(G69&lt;'Check Rules'!$B$9,G69&gt;'Check Rules'!$B$10),"Diastolic BP out of range",IF(G69&gt;=F69,"Diastolic &gt;= systolic","OK")))))))))</f>
        <v>OK</v>
      </c>
    </row>
    <row r="70" spans="1:9" x14ac:dyDescent="0.25">
      <c r="A70" s="10" t="s">
        <v>123</v>
      </c>
      <c r="B70" s="10" t="s">
        <v>77</v>
      </c>
      <c r="C70" s="10" t="s">
        <v>194</v>
      </c>
      <c r="D70" s="19">
        <v>46108</v>
      </c>
      <c r="E70" s="10">
        <v>79.599999999999994</v>
      </c>
      <c r="F70" s="10">
        <v>136</v>
      </c>
      <c r="G70" s="10">
        <v>79</v>
      </c>
      <c r="H70" s="10" t="s">
        <v>191</v>
      </c>
      <c r="I70" s="10" t="str">
        <f>IF(COUNTIF(Subjects!$A$2:$A$82,A70)=0,"Subject not in register",IF(D70&lt;INDEX(Subjects!$C$2:$C$82,MATCH(A70,Subjects!$A$2:$A$82,0)),"Visit before enrollment",IF(H70="Missed","Missed visit",IF(H70="Scheduled","OK",IF(E70="","Missing weight",IF(OR(E70&lt;'Check Rules'!$B$5,E70&gt;'Check Rules'!$B$6),"Weight out of range",IF(OR(F70&lt;'Check Rules'!$B$7,F70&gt;'Check Rules'!$B$8),"Systolic BP out of range",IF(OR(G70&lt;'Check Rules'!$B$9,G70&gt;'Check Rules'!$B$10),"Diastolic BP out of range",IF(G70&gt;=F70,"Diastolic &gt;= systolic","OK")))))))))</f>
        <v>OK</v>
      </c>
    </row>
    <row r="71" spans="1:9" x14ac:dyDescent="0.25">
      <c r="A71" s="10" t="s">
        <v>123</v>
      </c>
      <c r="B71" s="10" t="s">
        <v>77</v>
      </c>
      <c r="C71" s="10" t="s">
        <v>195</v>
      </c>
      <c r="D71" s="19">
        <v>46136</v>
      </c>
      <c r="E71" s="10">
        <v>80.3</v>
      </c>
      <c r="F71" s="10">
        <v>151</v>
      </c>
      <c r="G71" s="10">
        <v>72</v>
      </c>
      <c r="H71" s="10" t="s">
        <v>191</v>
      </c>
      <c r="I71" s="10" t="str">
        <f>IF(COUNTIF(Subjects!$A$2:$A$82,A71)=0,"Subject not in register",IF(D71&lt;INDEX(Subjects!$C$2:$C$82,MATCH(A71,Subjects!$A$2:$A$82,0)),"Visit before enrollment",IF(H71="Missed","Missed visit",IF(H71="Scheduled","OK",IF(E71="","Missing weight",IF(OR(E71&lt;'Check Rules'!$B$5,E71&gt;'Check Rules'!$B$6),"Weight out of range",IF(OR(F71&lt;'Check Rules'!$B$7,F71&gt;'Check Rules'!$B$8),"Systolic BP out of range",IF(OR(G71&lt;'Check Rules'!$B$9,G71&gt;'Check Rules'!$B$10),"Diastolic BP out of range",IF(G71&gt;=F71,"Diastolic &gt;= systolic","OK")))))))))</f>
        <v>OK</v>
      </c>
    </row>
    <row r="72" spans="1:9" x14ac:dyDescent="0.25">
      <c r="A72" s="10" t="s">
        <v>124</v>
      </c>
      <c r="B72" s="10" t="s">
        <v>74</v>
      </c>
      <c r="C72" s="10" t="s">
        <v>190</v>
      </c>
      <c r="D72" s="19">
        <v>46034</v>
      </c>
      <c r="E72" s="10">
        <v>74.900000000000006</v>
      </c>
      <c r="F72" s="10">
        <v>120</v>
      </c>
      <c r="G72" s="10">
        <v>78</v>
      </c>
      <c r="H72" s="10" t="s">
        <v>191</v>
      </c>
      <c r="I72" s="10" t="str">
        <f>IF(COUNTIF(Subjects!$A$2:$A$82,A72)=0,"Subject not in register",IF(D72&lt;INDEX(Subjects!$C$2:$C$82,MATCH(A72,Subjects!$A$2:$A$82,0)),"Visit before enrollment",IF(H72="Missed","Missed visit",IF(H72="Scheduled","OK",IF(E72="","Missing weight",IF(OR(E72&lt;'Check Rules'!$B$5,E72&gt;'Check Rules'!$B$6),"Weight out of range",IF(OR(F72&lt;'Check Rules'!$B$7,F72&gt;'Check Rules'!$B$8),"Systolic BP out of range",IF(OR(G72&lt;'Check Rules'!$B$9,G72&gt;'Check Rules'!$B$10),"Diastolic BP out of range",IF(G72&gt;=F72,"Diastolic &gt;= systolic","OK")))))))))</f>
        <v>OK</v>
      </c>
    </row>
    <row r="73" spans="1:9" x14ac:dyDescent="0.25">
      <c r="A73" s="10" t="s">
        <v>124</v>
      </c>
      <c r="B73" s="10" t="s">
        <v>74</v>
      </c>
      <c r="C73" s="10" t="s">
        <v>192</v>
      </c>
      <c r="D73" s="19">
        <v>46036</v>
      </c>
      <c r="E73" s="10">
        <v>74.400000000000006</v>
      </c>
      <c r="F73" s="10">
        <v>120</v>
      </c>
      <c r="G73" s="10">
        <v>83</v>
      </c>
      <c r="H73" s="10" t="s">
        <v>191</v>
      </c>
      <c r="I73" s="10" t="str">
        <f>IF(COUNTIF(Subjects!$A$2:$A$82,A73)=0,"Subject not in register",IF(D73&lt;INDEX(Subjects!$C$2:$C$82,MATCH(A73,Subjects!$A$2:$A$82,0)),"Visit before enrollment",IF(H73="Missed","Missed visit",IF(H73="Scheduled","OK",IF(E73="","Missing weight",IF(OR(E73&lt;'Check Rules'!$B$5,E73&gt;'Check Rules'!$B$6),"Weight out of range",IF(OR(F73&lt;'Check Rules'!$B$7,F73&gt;'Check Rules'!$B$8),"Systolic BP out of range",IF(OR(G73&lt;'Check Rules'!$B$9,G73&gt;'Check Rules'!$B$10),"Diastolic BP out of range",IF(G73&gt;=F73,"Diastolic &gt;= systolic","OK")))))))))</f>
        <v>OK</v>
      </c>
    </row>
    <row r="74" spans="1:9" x14ac:dyDescent="0.25">
      <c r="A74" s="10" t="s">
        <v>124</v>
      </c>
      <c r="B74" s="10" t="s">
        <v>74</v>
      </c>
      <c r="C74" s="10" t="s">
        <v>193</v>
      </c>
      <c r="D74" s="19">
        <v>46064</v>
      </c>
      <c r="E74" s="10">
        <v>74.5</v>
      </c>
      <c r="F74" s="10">
        <v>114</v>
      </c>
      <c r="G74" s="10">
        <v>80</v>
      </c>
      <c r="H74" s="10" t="s">
        <v>191</v>
      </c>
      <c r="I74" s="10" t="str">
        <f>IF(COUNTIF(Subjects!$A$2:$A$82,A74)=0,"Subject not in register",IF(D74&lt;INDEX(Subjects!$C$2:$C$82,MATCH(A74,Subjects!$A$2:$A$82,0)),"Visit before enrollment",IF(H74="Missed","Missed visit",IF(H74="Scheduled","OK",IF(E74="","Missing weight",IF(OR(E74&lt;'Check Rules'!$B$5,E74&gt;'Check Rules'!$B$6),"Weight out of range",IF(OR(F74&lt;'Check Rules'!$B$7,F74&gt;'Check Rules'!$B$8),"Systolic BP out of range",IF(OR(G74&lt;'Check Rules'!$B$9,G74&gt;'Check Rules'!$B$10),"Diastolic BP out of range",IF(G74&gt;=F74,"Diastolic &gt;= systolic","OK")))))))))</f>
        <v>OK</v>
      </c>
    </row>
    <row r="75" spans="1:9" x14ac:dyDescent="0.25">
      <c r="A75" s="10" t="s">
        <v>125</v>
      </c>
      <c r="B75" s="10" t="s">
        <v>74</v>
      </c>
      <c r="C75" s="10" t="s">
        <v>190</v>
      </c>
      <c r="D75" s="19">
        <v>46051</v>
      </c>
      <c r="E75" s="10">
        <v>57.7</v>
      </c>
      <c r="F75" s="10">
        <v>125</v>
      </c>
      <c r="G75" s="10">
        <v>75</v>
      </c>
      <c r="H75" s="10" t="s">
        <v>191</v>
      </c>
      <c r="I75" s="10" t="str">
        <f>IF(COUNTIF(Subjects!$A$2:$A$82,A75)=0,"Subject not in register",IF(D75&lt;INDEX(Subjects!$C$2:$C$82,MATCH(A75,Subjects!$A$2:$A$82,0)),"Visit before enrollment",IF(H75="Missed","Missed visit",IF(H75="Scheduled","OK",IF(E75="","Missing weight",IF(OR(E75&lt;'Check Rules'!$B$5,E75&gt;'Check Rules'!$B$6),"Weight out of range",IF(OR(F75&lt;'Check Rules'!$B$7,F75&gt;'Check Rules'!$B$8),"Systolic BP out of range",IF(OR(G75&lt;'Check Rules'!$B$9,G75&gt;'Check Rules'!$B$10),"Diastolic BP out of range",IF(G75&gt;=F75,"Diastolic &gt;= systolic","OK")))))))))</f>
        <v>OK</v>
      </c>
    </row>
    <row r="76" spans="1:9" x14ac:dyDescent="0.25">
      <c r="A76" s="10" t="s">
        <v>125</v>
      </c>
      <c r="B76" s="10" t="s">
        <v>74</v>
      </c>
      <c r="C76" s="10" t="s">
        <v>192</v>
      </c>
      <c r="D76" s="19">
        <v>46053</v>
      </c>
      <c r="E76" s="10">
        <v>56.9</v>
      </c>
      <c r="F76" s="10">
        <v>109</v>
      </c>
      <c r="G76" s="10">
        <v>81</v>
      </c>
      <c r="H76" s="10" t="s">
        <v>191</v>
      </c>
      <c r="I76" s="10" t="str">
        <f>IF(COUNTIF(Subjects!$A$2:$A$82,A76)=0,"Subject not in register",IF(D76&lt;INDEX(Subjects!$C$2:$C$82,MATCH(A76,Subjects!$A$2:$A$82,0)),"Visit before enrollment",IF(H76="Missed","Missed visit",IF(H76="Scheduled","OK",IF(E76="","Missing weight",IF(OR(E76&lt;'Check Rules'!$B$5,E76&gt;'Check Rules'!$B$6),"Weight out of range",IF(OR(F76&lt;'Check Rules'!$B$7,F76&gt;'Check Rules'!$B$8),"Systolic BP out of range",IF(OR(G76&lt;'Check Rules'!$B$9,G76&gt;'Check Rules'!$B$10),"Diastolic BP out of range",IF(G76&gt;=F76,"Diastolic &gt;= systolic","OK")))))))))</f>
        <v>OK</v>
      </c>
    </row>
    <row r="77" spans="1:9" x14ac:dyDescent="0.25">
      <c r="A77" s="10" t="s">
        <v>125</v>
      </c>
      <c r="B77" s="10" t="s">
        <v>74</v>
      </c>
      <c r="C77" s="10" t="s">
        <v>193</v>
      </c>
      <c r="D77" s="19">
        <v>46081</v>
      </c>
      <c r="E77" s="10">
        <v>58.6</v>
      </c>
      <c r="F77" s="10">
        <v>109</v>
      </c>
      <c r="G77" s="10">
        <v>78</v>
      </c>
      <c r="H77" s="10" t="s">
        <v>191</v>
      </c>
      <c r="I77" s="10" t="str">
        <f>IF(COUNTIF(Subjects!$A$2:$A$82,A77)=0,"Subject not in register",IF(D77&lt;INDEX(Subjects!$C$2:$C$82,MATCH(A77,Subjects!$A$2:$A$82,0)),"Visit before enrollment",IF(H77="Missed","Missed visit",IF(H77="Scheduled","OK",IF(E77="","Missing weight",IF(OR(E77&lt;'Check Rules'!$B$5,E77&gt;'Check Rules'!$B$6),"Weight out of range",IF(OR(F77&lt;'Check Rules'!$B$7,F77&gt;'Check Rules'!$B$8),"Systolic BP out of range",IF(OR(G77&lt;'Check Rules'!$B$9,G77&gt;'Check Rules'!$B$10),"Diastolic BP out of range",IF(G77&gt;=F77,"Diastolic &gt;= systolic","OK")))))))))</f>
        <v>OK</v>
      </c>
    </row>
    <row r="78" spans="1:9" x14ac:dyDescent="0.25">
      <c r="A78" s="10" t="s">
        <v>126</v>
      </c>
      <c r="B78" s="10" t="s">
        <v>74</v>
      </c>
      <c r="C78" s="10" t="s">
        <v>190</v>
      </c>
      <c r="D78" s="19">
        <v>46070</v>
      </c>
      <c r="E78" s="10">
        <v>82.2</v>
      </c>
      <c r="F78" s="10">
        <v>129</v>
      </c>
      <c r="G78" s="10">
        <v>66</v>
      </c>
      <c r="H78" s="10" t="s">
        <v>191</v>
      </c>
      <c r="I78" s="10" t="str">
        <f>IF(COUNTIF(Subjects!$A$2:$A$82,A78)=0,"Subject not in register",IF(D78&lt;INDEX(Subjects!$C$2:$C$82,MATCH(A78,Subjects!$A$2:$A$82,0)),"Visit before enrollment",IF(H78="Missed","Missed visit",IF(H78="Scheduled","OK",IF(E78="","Missing weight",IF(OR(E78&lt;'Check Rules'!$B$5,E78&gt;'Check Rules'!$B$6),"Weight out of range",IF(OR(F78&lt;'Check Rules'!$B$7,F78&gt;'Check Rules'!$B$8),"Systolic BP out of range",IF(OR(G78&lt;'Check Rules'!$B$9,G78&gt;'Check Rules'!$B$10),"Diastolic BP out of range",IF(G78&gt;=F78,"Diastolic &gt;= systolic","OK")))))))))</f>
        <v>OK</v>
      </c>
    </row>
    <row r="79" spans="1:9" x14ac:dyDescent="0.25">
      <c r="A79" s="10" t="s">
        <v>126</v>
      </c>
      <c r="B79" s="10" t="s">
        <v>74</v>
      </c>
      <c r="C79" s="10" t="s">
        <v>192</v>
      </c>
      <c r="D79" s="19">
        <v>46072</v>
      </c>
      <c r="E79" s="10">
        <v>82.1</v>
      </c>
      <c r="F79" s="10">
        <v>132</v>
      </c>
      <c r="G79" s="10">
        <v>72</v>
      </c>
      <c r="H79" s="10" t="s">
        <v>191</v>
      </c>
      <c r="I79" s="10" t="str">
        <f>IF(COUNTIF(Subjects!$A$2:$A$82,A79)=0,"Subject not in register",IF(D79&lt;INDEX(Subjects!$C$2:$C$82,MATCH(A79,Subjects!$A$2:$A$82,0)),"Visit before enrollment",IF(H79="Missed","Missed visit",IF(H79="Scheduled","OK",IF(E79="","Missing weight",IF(OR(E79&lt;'Check Rules'!$B$5,E79&gt;'Check Rules'!$B$6),"Weight out of range",IF(OR(F79&lt;'Check Rules'!$B$7,F79&gt;'Check Rules'!$B$8),"Systolic BP out of range",IF(OR(G79&lt;'Check Rules'!$B$9,G79&gt;'Check Rules'!$B$10),"Diastolic BP out of range",IF(G79&gt;=F79,"Diastolic &gt;= systolic","OK")))))))))</f>
        <v>OK</v>
      </c>
    </row>
    <row r="80" spans="1:9" x14ac:dyDescent="0.25">
      <c r="A80" s="10" t="s">
        <v>127</v>
      </c>
      <c r="B80" s="10" t="s">
        <v>76</v>
      </c>
      <c r="C80" s="10" t="s">
        <v>190</v>
      </c>
      <c r="D80" s="19">
        <v>46034</v>
      </c>
      <c r="E80" s="10">
        <v>61.9</v>
      </c>
      <c r="F80" s="10">
        <v>129</v>
      </c>
      <c r="G80" s="10">
        <v>68</v>
      </c>
      <c r="H80" s="10" t="s">
        <v>191</v>
      </c>
      <c r="I80" s="10" t="str">
        <f>IF(COUNTIF(Subjects!$A$2:$A$82,A80)=0,"Subject not in register",IF(D80&lt;INDEX(Subjects!$C$2:$C$82,MATCH(A80,Subjects!$A$2:$A$82,0)),"Visit before enrollment",IF(H80="Missed","Missed visit",IF(H80="Scheduled","OK",IF(E80="","Missing weight",IF(OR(E80&lt;'Check Rules'!$B$5,E80&gt;'Check Rules'!$B$6),"Weight out of range",IF(OR(F80&lt;'Check Rules'!$B$7,F80&gt;'Check Rules'!$B$8),"Systolic BP out of range",IF(OR(G80&lt;'Check Rules'!$B$9,G80&gt;'Check Rules'!$B$10),"Diastolic BP out of range",IF(G80&gt;=F80,"Diastolic &gt;= systolic","OK")))))))))</f>
        <v>OK</v>
      </c>
    </row>
    <row r="81" spans="1:9" x14ac:dyDescent="0.25">
      <c r="A81" s="10" t="s">
        <v>127</v>
      </c>
      <c r="B81" s="10" t="s">
        <v>76</v>
      </c>
      <c r="C81" s="10" t="s">
        <v>192</v>
      </c>
      <c r="D81" s="19">
        <v>46036</v>
      </c>
      <c r="E81" s="10">
        <v>61.5</v>
      </c>
      <c r="F81" s="10">
        <v>136</v>
      </c>
      <c r="G81" s="10">
        <v>62</v>
      </c>
      <c r="H81" s="10" t="s">
        <v>191</v>
      </c>
      <c r="I81" s="10" t="str">
        <f>IF(COUNTIF(Subjects!$A$2:$A$82,A81)=0,"Subject not in register",IF(D81&lt;INDEX(Subjects!$C$2:$C$82,MATCH(A81,Subjects!$A$2:$A$82,0)),"Visit before enrollment",IF(H81="Missed","Missed visit",IF(H81="Scheduled","OK",IF(E81="","Missing weight",IF(OR(E81&lt;'Check Rules'!$B$5,E81&gt;'Check Rules'!$B$6),"Weight out of range",IF(OR(F81&lt;'Check Rules'!$B$7,F81&gt;'Check Rules'!$B$8),"Systolic BP out of range",IF(OR(G81&lt;'Check Rules'!$B$9,G81&gt;'Check Rules'!$B$10),"Diastolic BP out of range",IF(G81&gt;=F81,"Diastolic &gt;= systolic","OK")))))))))</f>
        <v>OK</v>
      </c>
    </row>
    <row r="82" spans="1:9" x14ac:dyDescent="0.25">
      <c r="A82" s="10" t="s">
        <v>127</v>
      </c>
      <c r="B82" s="10" t="s">
        <v>76</v>
      </c>
      <c r="C82" s="10" t="s">
        <v>193</v>
      </c>
      <c r="D82" s="19">
        <v>46064</v>
      </c>
      <c r="E82" s="10">
        <v>62.2</v>
      </c>
      <c r="F82" s="10">
        <v>122</v>
      </c>
      <c r="G82" s="10">
        <v>73</v>
      </c>
      <c r="H82" s="10" t="s">
        <v>191</v>
      </c>
      <c r="I82" s="10" t="str">
        <f>IF(COUNTIF(Subjects!$A$2:$A$82,A82)=0,"Subject not in register",IF(D82&lt;INDEX(Subjects!$C$2:$C$82,MATCH(A82,Subjects!$A$2:$A$82,0)),"Visit before enrollment",IF(H82="Missed","Missed visit",IF(H82="Scheduled","OK",IF(E82="","Missing weight",IF(OR(E82&lt;'Check Rules'!$B$5,E82&gt;'Check Rules'!$B$6),"Weight out of range",IF(OR(F82&lt;'Check Rules'!$B$7,F82&gt;'Check Rules'!$B$8),"Systolic BP out of range",IF(OR(G82&lt;'Check Rules'!$B$9,G82&gt;'Check Rules'!$B$10),"Diastolic BP out of range",IF(G82&gt;=F82,"Diastolic &gt;= systolic","OK")))))))))</f>
        <v>OK</v>
      </c>
    </row>
    <row r="83" spans="1:9" x14ac:dyDescent="0.25">
      <c r="A83" s="10" t="s">
        <v>127</v>
      </c>
      <c r="B83" s="10" t="s">
        <v>76</v>
      </c>
      <c r="C83" s="10" t="s">
        <v>194</v>
      </c>
      <c r="D83" s="19">
        <v>46092</v>
      </c>
      <c r="E83" s="10">
        <v>62.6</v>
      </c>
      <c r="F83" s="10">
        <v>135</v>
      </c>
      <c r="G83" s="10">
        <v>66</v>
      </c>
      <c r="H83" s="10" t="s">
        <v>191</v>
      </c>
      <c r="I83" s="10" t="str">
        <f>IF(COUNTIF(Subjects!$A$2:$A$82,A83)=0,"Subject not in register",IF(D83&lt;INDEX(Subjects!$C$2:$C$82,MATCH(A83,Subjects!$A$2:$A$82,0)),"Visit before enrollment",IF(H83="Missed","Missed visit",IF(H83="Scheduled","OK",IF(E83="","Missing weight",IF(OR(E83&lt;'Check Rules'!$B$5,E83&gt;'Check Rules'!$B$6),"Weight out of range",IF(OR(F83&lt;'Check Rules'!$B$7,F83&gt;'Check Rules'!$B$8),"Systolic BP out of range",IF(OR(G83&lt;'Check Rules'!$B$9,G83&gt;'Check Rules'!$B$10),"Diastolic BP out of range",IF(G83&gt;=F83,"Diastolic &gt;= systolic","OK")))))))))</f>
        <v>OK</v>
      </c>
    </row>
    <row r="84" spans="1:9" x14ac:dyDescent="0.25">
      <c r="A84" s="10" t="s">
        <v>128</v>
      </c>
      <c r="B84" s="10" t="s">
        <v>74</v>
      </c>
      <c r="C84" s="10" t="s">
        <v>190</v>
      </c>
      <c r="D84" s="19">
        <v>46073</v>
      </c>
      <c r="E84" s="10">
        <v>65.599999999999994</v>
      </c>
      <c r="F84" s="10">
        <v>125</v>
      </c>
      <c r="G84" s="10">
        <v>96</v>
      </c>
      <c r="H84" s="10" t="s">
        <v>191</v>
      </c>
      <c r="I84" s="10" t="str">
        <f>IF(COUNTIF(Subjects!$A$2:$A$82,A84)=0,"Subject not in register",IF(D84&lt;INDEX(Subjects!$C$2:$C$82,MATCH(A84,Subjects!$A$2:$A$82,0)),"Visit before enrollment",IF(H84="Missed","Missed visit",IF(H84="Scheduled","OK",IF(E84="","Missing weight",IF(OR(E84&lt;'Check Rules'!$B$5,E84&gt;'Check Rules'!$B$6),"Weight out of range",IF(OR(F84&lt;'Check Rules'!$B$7,F84&gt;'Check Rules'!$B$8),"Systolic BP out of range",IF(OR(G84&lt;'Check Rules'!$B$9,G84&gt;'Check Rules'!$B$10),"Diastolic BP out of range",IF(G84&gt;=F84,"Diastolic &gt;= systolic","OK")))))))))</f>
        <v>OK</v>
      </c>
    </row>
    <row r="85" spans="1:9" x14ac:dyDescent="0.25">
      <c r="A85" s="10" t="s">
        <v>128</v>
      </c>
      <c r="B85" s="10" t="s">
        <v>74</v>
      </c>
      <c r="C85" s="10" t="s">
        <v>192</v>
      </c>
      <c r="D85" s="19">
        <v>46075</v>
      </c>
      <c r="E85" s="10">
        <v>65.400000000000006</v>
      </c>
      <c r="F85" s="10">
        <v>116</v>
      </c>
      <c r="G85" s="10">
        <v>85</v>
      </c>
      <c r="H85" s="10" t="s">
        <v>191</v>
      </c>
      <c r="I85" s="10" t="str">
        <f>IF(COUNTIF(Subjects!$A$2:$A$82,A85)=0,"Subject not in register",IF(D85&lt;INDEX(Subjects!$C$2:$C$82,MATCH(A85,Subjects!$A$2:$A$82,0)),"Visit before enrollment",IF(H85="Missed","Missed visit",IF(H85="Scheduled","OK",IF(E85="","Missing weight",IF(OR(E85&lt;'Check Rules'!$B$5,E85&gt;'Check Rules'!$B$6),"Weight out of range",IF(OR(F85&lt;'Check Rules'!$B$7,F85&gt;'Check Rules'!$B$8),"Systolic BP out of range",IF(OR(G85&lt;'Check Rules'!$B$9,G85&gt;'Check Rules'!$B$10),"Diastolic BP out of range",IF(G85&gt;=F85,"Diastolic &gt;= systolic","OK")))))))))</f>
        <v>OK</v>
      </c>
    </row>
    <row r="86" spans="1:9" x14ac:dyDescent="0.25">
      <c r="A86" s="10" t="s">
        <v>129</v>
      </c>
      <c r="B86" s="10" t="s">
        <v>74</v>
      </c>
      <c r="C86" s="10" t="s">
        <v>190</v>
      </c>
      <c r="D86" s="19">
        <v>46067</v>
      </c>
      <c r="E86" s="10">
        <v>79.5</v>
      </c>
      <c r="F86" s="10">
        <v>127</v>
      </c>
      <c r="G86" s="10">
        <v>81</v>
      </c>
      <c r="H86" s="10" t="s">
        <v>191</v>
      </c>
      <c r="I86" s="10" t="str">
        <f>IF(COUNTIF(Subjects!$A$2:$A$82,A86)=0,"Subject not in register",IF(D86&lt;INDEX(Subjects!$C$2:$C$82,MATCH(A86,Subjects!$A$2:$A$82,0)),"Visit before enrollment",IF(H86="Missed","Missed visit",IF(H86="Scheduled","OK",IF(E86="","Missing weight",IF(OR(E86&lt;'Check Rules'!$B$5,E86&gt;'Check Rules'!$B$6),"Weight out of range",IF(OR(F86&lt;'Check Rules'!$B$7,F86&gt;'Check Rules'!$B$8),"Systolic BP out of range",IF(OR(G86&lt;'Check Rules'!$B$9,G86&gt;'Check Rules'!$B$10),"Diastolic BP out of range",IF(G86&gt;=F86,"Diastolic &gt;= systolic","OK")))))))))</f>
        <v>OK</v>
      </c>
    </row>
    <row r="87" spans="1:9" x14ac:dyDescent="0.25">
      <c r="A87" s="10" t="s">
        <v>129</v>
      </c>
      <c r="B87" s="10" t="s">
        <v>74</v>
      </c>
      <c r="C87" s="10" t="s">
        <v>192</v>
      </c>
      <c r="D87" s="19">
        <v>46069</v>
      </c>
      <c r="E87" s="10">
        <v>81.400000000000006</v>
      </c>
      <c r="F87" s="10">
        <v>114</v>
      </c>
      <c r="G87" s="10">
        <v>76</v>
      </c>
      <c r="H87" s="10" t="s">
        <v>191</v>
      </c>
      <c r="I87" s="10" t="str">
        <f>IF(COUNTIF(Subjects!$A$2:$A$82,A87)=0,"Subject not in register",IF(D87&lt;INDEX(Subjects!$C$2:$C$82,MATCH(A87,Subjects!$A$2:$A$82,0)),"Visit before enrollment",IF(H87="Missed","Missed visit",IF(H87="Scheduled","OK",IF(E87="","Missing weight",IF(OR(E87&lt;'Check Rules'!$B$5,E87&gt;'Check Rules'!$B$6),"Weight out of range",IF(OR(F87&lt;'Check Rules'!$B$7,F87&gt;'Check Rules'!$B$8),"Systolic BP out of range",IF(OR(G87&lt;'Check Rules'!$B$9,G87&gt;'Check Rules'!$B$10),"Diastolic BP out of range",IF(G87&gt;=F87,"Diastolic &gt;= systolic","OK")))))))))</f>
        <v>OK</v>
      </c>
    </row>
    <row r="88" spans="1:9" x14ac:dyDescent="0.25">
      <c r="A88" s="10" t="s">
        <v>130</v>
      </c>
      <c r="B88" s="10" t="s">
        <v>75</v>
      </c>
      <c r="C88" s="10" t="s">
        <v>190</v>
      </c>
      <c r="D88" s="19">
        <v>46061</v>
      </c>
      <c r="E88" s="10">
        <v>68.099999999999994</v>
      </c>
      <c r="F88" s="10">
        <v>126</v>
      </c>
      <c r="G88" s="10">
        <v>79</v>
      </c>
      <c r="H88" s="10" t="s">
        <v>191</v>
      </c>
      <c r="I88" s="10" t="str">
        <f>IF(COUNTIF(Subjects!$A$2:$A$82,A88)=0,"Subject not in register",IF(D88&lt;INDEX(Subjects!$C$2:$C$82,MATCH(A88,Subjects!$A$2:$A$82,0)),"Visit before enrollment",IF(H88="Missed","Missed visit",IF(H88="Scheduled","OK",IF(E88="","Missing weight",IF(OR(E88&lt;'Check Rules'!$B$5,E88&gt;'Check Rules'!$B$6),"Weight out of range",IF(OR(F88&lt;'Check Rules'!$B$7,F88&gt;'Check Rules'!$B$8),"Systolic BP out of range",IF(OR(G88&lt;'Check Rules'!$B$9,G88&gt;'Check Rules'!$B$10),"Diastolic BP out of range",IF(G88&gt;=F88,"Diastolic &gt;= systolic","OK")))))))))</f>
        <v>OK</v>
      </c>
    </row>
    <row r="89" spans="1:9" x14ac:dyDescent="0.25">
      <c r="A89" s="10" t="s">
        <v>130</v>
      </c>
      <c r="B89" s="10" t="s">
        <v>75</v>
      </c>
      <c r="C89" s="10" t="s">
        <v>192</v>
      </c>
      <c r="D89" s="19">
        <v>46063</v>
      </c>
      <c r="E89" s="10">
        <v>68.8</v>
      </c>
      <c r="F89" s="10">
        <v>149</v>
      </c>
      <c r="G89" s="10">
        <v>73</v>
      </c>
      <c r="H89" s="10" t="s">
        <v>191</v>
      </c>
      <c r="I89" s="10" t="str">
        <f>IF(COUNTIF(Subjects!$A$2:$A$82,A89)=0,"Subject not in register",IF(D89&lt;INDEX(Subjects!$C$2:$C$82,MATCH(A89,Subjects!$A$2:$A$82,0)),"Visit before enrollment",IF(H89="Missed","Missed visit",IF(H89="Scheduled","OK",IF(E89="","Missing weight",IF(OR(E89&lt;'Check Rules'!$B$5,E89&gt;'Check Rules'!$B$6),"Weight out of range",IF(OR(F89&lt;'Check Rules'!$B$7,F89&gt;'Check Rules'!$B$8),"Systolic BP out of range",IF(OR(G89&lt;'Check Rules'!$B$9,G89&gt;'Check Rules'!$B$10),"Diastolic BP out of range",IF(G89&gt;=F89,"Diastolic &gt;= systolic","OK")))))))))</f>
        <v>OK</v>
      </c>
    </row>
    <row r="90" spans="1:9" x14ac:dyDescent="0.25">
      <c r="A90" s="10" t="s">
        <v>130</v>
      </c>
      <c r="B90" s="10" t="s">
        <v>75</v>
      </c>
      <c r="C90" s="10" t="s">
        <v>193</v>
      </c>
      <c r="D90" s="19">
        <v>46091</v>
      </c>
      <c r="E90" s="10">
        <v>70.099999999999994</v>
      </c>
      <c r="F90" s="10">
        <v>73</v>
      </c>
      <c r="G90" s="10">
        <v>134</v>
      </c>
      <c r="H90" s="10" t="s">
        <v>191</v>
      </c>
      <c r="I90" s="10" t="str">
        <f>IF(COUNTIF(Subjects!$A$2:$A$82,A90)=0,"Subject not in register",IF(D90&lt;INDEX(Subjects!$C$2:$C$82,MATCH(A90,Subjects!$A$2:$A$82,0)),"Visit before enrollment",IF(H90="Missed","Missed visit",IF(H90="Scheduled","OK",IF(E90="","Missing weight",IF(OR(E90&lt;'Check Rules'!$B$5,E90&gt;'Check Rules'!$B$6),"Weight out of range",IF(OR(F90&lt;'Check Rules'!$B$7,F90&gt;'Check Rules'!$B$8),"Systolic BP out of range",IF(OR(G90&lt;'Check Rules'!$B$9,G90&gt;'Check Rules'!$B$10),"Diastolic BP out of range",IF(G90&gt;=F90,"Diastolic &gt;= systolic","OK")))))))))</f>
        <v>Diastolic BP out of range</v>
      </c>
    </row>
    <row r="91" spans="1:9" x14ac:dyDescent="0.25">
      <c r="A91" s="10" t="s">
        <v>131</v>
      </c>
      <c r="B91" s="10" t="s">
        <v>74</v>
      </c>
      <c r="C91" s="10" t="s">
        <v>190</v>
      </c>
      <c r="D91" s="19">
        <v>46034</v>
      </c>
      <c r="E91" s="10">
        <v>67.7</v>
      </c>
      <c r="F91" s="10">
        <v>135</v>
      </c>
      <c r="G91" s="10">
        <v>78</v>
      </c>
      <c r="H91" s="10" t="s">
        <v>191</v>
      </c>
      <c r="I91" s="10" t="str">
        <f>IF(COUNTIF(Subjects!$A$2:$A$82,A91)=0,"Subject not in register",IF(D91&lt;INDEX(Subjects!$C$2:$C$82,MATCH(A91,Subjects!$A$2:$A$82,0)),"Visit before enrollment",IF(H91="Missed","Missed visit",IF(H91="Scheduled","OK",IF(E91="","Missing weight",IF(OR(E91&lt;'Check Rules'!$B$5,E91&gt;'Check Rules'!$B$6),"Weight out of range",IF(OR(F91&lt;'Check Rules'!$B$7,F91&gt;'Check Rules'!$B$8),"Systolic BP out of range",IF(OR(G91&lt;'Check Rules'!$B$9,G91&gt;'Check Rules'!$B$10),"Diastolic BP out of range",IF(G91&gt;=F91,"Diastolic &gt;= systolic","OK")))))))))</f>
        <v>OK</v>
      </c>
    </row>
    <row r="92" spans="1:9" x14ac:dyDescent="0.25">
      <c r="A92" s="10" t="s">
        <v>131</v>
      </c>
      <c r="B92" s="10" t="s">
        <v>74</v>
      </c>
      <c r="C92" s="10" t="s">
        <v>192</v>
      </c>
      <c r="D92" s="19">
        <v>46036</v>
      </c>
      <c r="E92" s="10">
        <v>68.3</v>
      </c>
      <c r="F92" s="10">
        <v>119</v>
      </c>
      <c r="G92" s="10">
        <v>78</v>
      </c>
      <c r="H92" s="10" t="s">
        <v>191</v>
      </c>
      <c r="I92" s="10" t="str">
        <f>IF(COUNTIF(Subjects!$A$2:$A$82,A92)=0,"Subject not in register",IF(D92&lt;INDEX(Subjects!$C$2:$C$82,MATCH(A92,Subjects!$A$2:$A$82,0)),"Visit before enrollment",IF(H92="Missed","Missed visit",IF(H92="Scheduled","OK",IF(E92="","Missing weight",IF(OR(E92&lt;'Check Rules'!$B$5,E92&gt;'Check Rules'!$B$6),"Weight out of range",IF(OR(F92&lt;'Check Rules'!$B$7,F92&gt;'Check Rules'!$B$8),"Systolic BP out of range",IF(OR(G92&lt;'Check Rules'!$B$9,G92&gt;'Check Rules'!$B$10),"Diastolic BP out of range",IF(G92&gt;=F92,"Diastolic &gt;= systolic","OK")))))))))</f>
        <v>OK</v>
      </c>
    </row>
    <row r="93" spans="1:9" x14ac:dyDescent="0.25">
      <c r="A93" s="10" t="s">
        <v>131</v>
      </c>
      <c r="B93" s="10" t="s">
        <v>74</v>
      </c>
      <c r="C93" s="10" t="s">
        <v>193</v>
      </c>
      <c r="D93" s="19">
        <v>46064</v>
      </c>
      <c r="E93" s="10">
        <v>67.5</v>
      </c>
      <c r="F93" s="10">
        <v>129</v>
      </c>
      <c r="G93" s="10">
        <v>79</v>
      </c>
      <c r="H93" s="10" t="s">
        <v>191</v>
      </c>
      <c r="I93" s="10" t="str">
        <f>IF(COUNTIF(Subjects!$A$2:$A$82,A93)=0,"Subject not in register",IF(D93&lt;INDEX(Subjects!$C$2:$C$82,MATCH(A93,Subjects!$A$2:$A$82,0)),"Visit before enrollment",IF(H93="Missed","Missed visit",IF(H93="Scheduled","OK",IF(E93="","Missing weight",IF(OR(E93&lt;'Check Rules'!$B$5,E93&gt;'Check Rules'!$B$6),"Weight out of range",IF(OR(F93&lt;'Check Rules'!$B$7,F93&gt;'Check Rules'!$B$8),"Systolic BP out of range",IF(OR(G93&lt;'Check Rules'!$B$9,G93&gt;'Check Rules'!$B$10),"Diastolic BP out of range",IF(G93&gt;=F93,"Diastolic &gt;= systolic","OK")))))))))</f>
        <v>OK</v>
      </c>
    </row>
    <row r="94" spans="1:9" x14ac:dyDescent="0.25">
      <c r="A94" s="10" t="s">
        <v>131</v>
      </c>
      <c r="B94" s="10" t="s">
        <v>74</v>
      </c>
      <c r="C94" s="10" t="s">
        <v>194</v>
      </c>
      <c r="D94" s="19">
        <v>46092</v>
      </c>
      <c r="E94" s="10">
        <v>69.400000000000006</v>
      </c>
      <c r="F94" s="10">
        <v>129</v>
      </c>
      <c r="G94" s="10">
        <v>79</v>
      </c>
      <c r="H94" s="10" t="s">
        <v>191</v>
      </c>
      <c r="I94" s="10" t="str">
        <f>IF(COUNTIF(Subjects!$A$2:$A$82,A94)=0,"Subject not in register",IF(D94&lt;INDEX(Subjects!$C$2:$C$82,MATCH(A94,Subjects!$A$2:$A$82,0)),"Visit before enrollment",IF(H94="Missed","Missed visit",IF(H94="Scheduled","OK",IF(E94="","Missing weight",IF(OR(E94&lt;'Check Rules'!$B$5,E94&gt;'Check Rules'!$B$6),"Weight out of range",IF(OR(F94&lt;'Check Rules'!$B$7,F94&gt;'Check Rules'!$B$8),"Systolic BP out of range",IF(OR(G94&lt;'Check Rules'!$B$9,G94&gt;'Check Rules'!$B$10),"Diastolic BP out of range",IF(G94&gt;=F94,"Diastolic &gt;= systolic","OK")))))))))</f>
        <v>OK</v>
      </c>
    </row>
    <row r="95" spans="1:9" x14ac:dyDescent="0.25">
      <c r="A95" s="10" t="s">
        <v>131</v>
      </c>
      <c r="B95" s="10" t="s">
        <v>74</v>
      </c>
      <c r="C95" s="10" t="s">
        <v>195</v>
      </c>
      <c r="D95" s="19">
        <v>46120</v>
      </c>
      <c r="E95" s="10">
        <v>67.7</v>
      </c>
      <c r="F95" s="10">
        <v>141</v>
      </c>
      <c r="G95" s="10">
        <v>79</v>
      </c>
      <c r="H95" s="10" t="s">
        <v>191</v>
      </c>
      <c r="I95" s="10" t="str">
        <f>IF(COUNTIF(Subjects!$A$2:$A$82,A95)=0,"Subject not in register",IF(D95&lt;INDEX(Subjects!$C$2:$C$82,MATCH(A95,Subjects!$A$2:$A$82,0)),"Visit before enrollment",IF(H95="Missed","Missed visit",IF(H95="Scheduled","OK",IF(E95="","Missing weight",IF(OR(E95&lt;'Check Rules'!$B$5,E95&gt;'Check Rules'!$B$6),"Weight out of range",IF(OR(F95&lt;'Check Rules'!$B$7,F95&gt;'Check Rules'!$B$8),"Systolic BP out of range",IF(OR(G95&lt;'Check Rules'!$B$9,G95&gt;'Check Rules'!$B$10),"Diastolic BP out of range",IF(G95&gt;=F95,"Diastolic &gt;= systolic","OK")))))))))</f>
        <v>OK</v>
      </c>
    </row>
    <row r="96" spans="1:9" x14ac:dyDescent="0.25">
      <c r="A96" s="10" t="s">
        <v>132</v>
      </c>
      <c r="B96" s="10" t="s">
        <v>74</v>
      </c>
      <c r="C96" s="10" t="s">
        <v>190</v>
      </c>
      <c r="D96" s="19">
        <v>46042</v>
      </c>
      <c r="E96" s="10">
        <v>69</v>
      </c>
      <c r="F96" s="10">
        <v>113</v>
      </c>
      <c r="G96" s="10">
        <v>77</v>
      </c>
      <c r="H96" s="10" t="s">
        <v>191</v>
      </c>
      <c r="I96" s="10" t="str">
        <f>IF(COUNTIF(Subjects!$A$2:$A$82,A96)=0,"Subject not in register",IF(D96&lt;INDEX(Subjects!$C$2:$C$82,MATCH(A96,Subjects!$A$2:$A$82,0)),"Visit before enrollment",IF(H96="Missed","Missed visit",IF(H96="Scheduled","OK",IF(E96="","Missing weight",IF(OR(E96&lt;'Check Rules'!$B$5,E96&gt;'Check Rules'!$B$6),"Weight out of range",IF(OR(F96&lt;'Check Rules'!$B$7,F96&gt;'Check Rules'!$B$8),"Systolic BP out of range",IF(OR(G96&lt;'Check Rules'!$B$9,G96&gt;'Check Rules'!$B$10),"Diastolic BP out of range",IF(G96&gt;=F96,"Diastolic &gt;= systolic","OK")))))))))</f>
        <v>OK</v>
      </c>
    </row>
    <row r="97" spans="1:9" x14ac:dyDescent="0.25">
      <c r="A97" s="10" t="s">
        <v>132</v>
      </c>
      <c r="B97" s="10" t="s">
        <v>74</v>
      </c>
      <c r="C97" s="10" t="s">
        <v>192</v>
      </c>
      <c r="D97" s="19">
        <v>46044</v>
      </c>
      <c r="E97" s="10">
        <v>70.099999999999994</v>
      </c>
      <c r="F97" s="10">
        <v>113</v>
      </c>
      <c r="G97" s="10">
        <v>76</v>
      </c>
      <c r="H97" s="10" t="s">
        <v>191</v>
      </c>
      <c r="I97" s="10" t="str">
        <f>IF(COUNTIF(Subjects!$A$2:$A$82,A97)=0,"Subject not in register",IF(D97&lt;INDEX(Subjects!$C$2:$C$82,MATCH(A97,Subjects!$A$2:$A$82,0)),"Visit before enrollment",IF(H97="Missed","Missed visit",IF(H97="Scheduled","OK",IF(E97="","Missing weight",IF(OR(E97&lt;'Check Rules'!$B$5,E97&gt;'Check Rules'!$B$6),"Weight out of range",IF(OR(F97&lt;'Check Rules'!$B$7,F97&gt;'Check Rules'!$B$8),"Systolic BP out of range",IF(OR(G97&lt;'Check Rules'!$B$9,G97&gt;'Check Rules'!$B$10),"Diastolic BP out of range",IF(G97&gt;=F97,"Diastolic &gt;= systolic","OK")))))))))</f>
        <v>OK</v>
      </c>
    </row>
    <row r="98" spans="1:9" x14ac:dyDescent="0.25">
      <c r="A98" s="10" t="s">
        <v>132</v>
      </c>
      <c r="B98" s="10" t="s">
        <v>74</v>
      </c>
      <c r="C98" s="10" t="s">
        <v>193</v>
      </c>
      <c r="D98" s="19">
        <v>46072</v>
      </c>
      <c r="E98" s="10">
        <v>69.5</v>
      </c>
      <c r="F98" s="10">
        <v>113</v>
      </c>
      <c r="G98" s="10">
        <v>81</v>
      </c>
      <c r="H98" s="10" t="s">
        <v>191</v>
      </c>
      <c r="I98" s="10" t="str">
        <f>IF(COUNTIF(Subjects!$A$2:$A$82,A98)=0,"Subject not in register",IF(D98&lt;INDEX(Subjects!$C$2:$C$82,MATCH(A98,Subjects!$A$2:$A$82,0)),"Visit before enrollment",IF(H98="Missed","Missed visit",IF(H98="Scheduled","OK",IF(E98="","Missing weight",IF(OR(E98&lt;'Check Rules'!$B$5,E98&gt;'Check Rules'!$B$6),"Weight out of range",IF(OR(F98&lt;'Check Rules'!$B$7,F98&gt;'Check Rules'!$B$8),"Systolic BP out of range",IF(OR(G98&lt;'Check Rules'!$B$9,G98&gt;'Check Rules'!$B$10),"Diastolic BP out of range",IF(G98&gt;=F98,"Diastolic &gt;= systolic","OK")))))))))</f>
        <v>OK</v>
      </c>
    </row>
    <row r="99" spans="1:9" x14ac:dyDescent="0.25">
      <c r="A99" s="10" t="s">
        <v>132</v>
      </c>
      <c r="B99" s="10" t="s">
        <v>74</v>
      </c>
      <c r="C99" s="10" t="s">
        <v>194</v>
      </c>
      <c r="D99" s="19">
        <v>46100</v>
      </c>
      <c r="E99" s="10">
        <v>69.400000000000006</v>
      </c>
      <c r="F99" s="10">
        <v>109</v>
      </c>
      <c r="G99" s="10">
        <v>76</v>
      </c>
      <c r="H99" s="10" t="s">
        <v>191</v>
      </c>
      <c r="I99" s="10" t="str">
        <f>IF(COUNTIF(Subjects!$A$2:$A$82,A99)=0,"Subject not in register",IF(D99&lt;INDEX(Subjects!$C$2:$C$82,MATCH(A99,Subjects!$A$2:$A$82,0)),"Visit before enrollment",IF(H99="Missed","Missed visit",IF(H99="Scheduled","OK",IF(E99="","Missing weight",IF(OR(E99&lt;'Check Rules'!$B$5,E99&gt;'Check Rules'!$B$6),"Weight out of range",IF(OR(F99&lt;'Check Rules'!$B$7,F99&gt;'Check Rules'!$B$8),"Systolic BP out of range",IF(OR(G99&lt;'Check Rules'!$B$9,G99&gt;'Check Rules'!$B$10),"Diastolic BP out of range",IF(G99&gt;=F99,"Diastolic &gt;= systolic","OK")))))))))</f>
        <v>OK</v>
      </c>
    </row>
    <row r="100" spans="1:9" x14ac:dyDescent="0.25">
      <c r="A100" s="10" t="s">
        <v>133</v>
      </c>
      <c r="B100" s="10" t="s">
        <v>77</v>
      </c>
      <c r="C100" s="10" t="s">
        <v>190</v>
      </c>
      <c r="D100" s="19">
        <v>46031</v>
      </c>
      <c r="E100" s="10">
        <v>66.7</v>
      </c>
      <c r="F100" s="10">
        <v>136</v>
      </c>
      <c r="G100" s="10">
        <v>86</v>
      </c>
      <c r="H100" s="10" t="s">
        <v>191</v>
      </c>
      <c r="I100" s="10" t="str">
        <f>IF(COUNTIF(Subjects!$A$2:$A$82,A100)=0,"Subject not in register",IF(D100&lt;INDEX(Subjects!$C$2:$C$82,MATCH(A100,Subjects!$A$2:$A$82,0)),"Visit before enrollment",IF(H100="Missed","Missed visit",IF(H100="Scheduled","OK",IF(E100="","Missing weight",IF(OR(E100&lt;'Check Rules'!$B$5,E100&gt;'Check Rules'!$B$6),"Weight out of range",IF(OR(F100&lt;'Check Rules'!$B$7,F100&gt;'Check Rules'!$B$8),"Systolic BP out of range",IF(OR(G100&lt;'Check Rules'!$B$9,G100&gt;'Check Rules'!$B$10),"Diastolic BP out of range",IF(G100&gt;=F100,"Diastolic &gt;= systolic","OK")))))))))</f>
        <v>OK</v>
      </c>
    </row>
    <row r="101" spans="1:9" x14ac:dyDescent="0.25">
      <c r="A101" s="10" t="s">
        <v>133</v>
      </c>
      <c r="B101" s="10" t="s">
        <v>77</v>
      </c>
      <c r="C101" s="10" t="s">
        <v>192</v>
      </c>
      <c r="D101" s="19">
        <v>46033</v>
      </c>
      <c r="E101" s="10">
        <v>65.599999999999994</v>
      </c>
      <c r="F101" s="10">
        <v>131</v>
      </c>
      <c r="G101" s="10">
        <v>85</v>
      </c>
      <c r="H101" s="10" t="s">
        <v>191</v>
      </c>
      <c r="I101" s="10" t="str">
        <f>IF(COUNTIF(Subjects!$A$2:$A$82,A101)=0,"Subject not in register",IF(D101&lt;INDEX(Subjects!$C$2:$C$82,MATCH(A101,Subjects!$A$2:$A$82,0)),"Visit before enrollment",IF(H101="Missed","Missed visit",IF(H101="Scheduled","OK",IF(E101="","Missing weight",IF(OR(E101&lt;'Check Rules'!$B$5,E101&gt;'Check Rules'!$B$6),"Weight out of range",IF(OR(F101&lt;'Check Rules'!$B$7,F101&gt;'Check Rules'!$B$8),"Systolic BP out of range",IF(OR(G101&lt;'Check Rules'!$B$9,G101&gt;'Check Rules'!$B$10),"Diastolic BP out of range",IF(G101&gt;=F101,"Diastolic &gt;= systolic","OK")))))))))</f>
        <v>OK</v>
      </c>
    </row>
    <row r="102" spans="1:9" x14ac:dyDescent="0.25">
      <c r="A102" s="10" t="s">
        <v>134</v>
      </c>
      <c r="B102" s="10" t="s">
        <v>77</v>
      </c>
      <c r="C102" s="10" t="s">
        <v>190</v>
      </c>
      <c r="D102" s="19">
        <v>46062</v>
      </c>
      <c r="E102" s="10">
        <v>70.099999999999994</v>
      </c>
      <c r="F102" s="10">
        <v>130</v>
      </c>
      <c r="G102" s="10">
        <v>76</v>
      </c>
      <c r="H102" s="10" t="s">
        <v>191</v>
      </c>
      <c r="I102" s="10" t="str">
        <f>IF(COUNTIF(Subjects!$A$2:$A$82,A102)=0,"Subject not in register",IF(D102&lt;INDEX(Subjects!$C$2:$C$82,MATCH(A102,Subjects!$A$2:$A$82,0)),"Visit before enrollment",IF(H102="Missed","Missed visit",IF(H102="Scheduled","OK",IF(E102="","Missing weight",IF(OR(E102&lt;'Check Rules'!$B$5,E102&gt;'Check Rules'!$B$6),"Weight out of range",IF(OR(F102&lt;'Check Rules'!$B$7,F102&gt;'Check Rules'!$B$8),"Systolic BP out of range",IF(OR(G102&lt;'Check Rules'!$B$9,G102&gt;'Check Rules'!$B$10),"Diastolic BP out of range",IF(G102&gt;=F102,"Diastolic &gt;= systolic","OK")))))))))</f>
        <v>OK</v>
      </c>
    </row>
    <row r="103" spans="1:9" x14ac:dyDescent="0.25">
      <c r="A103" s="10" t="s">
        <v>134</v>
      </c>
      <c r="B103" s="10" t="s">
        <v>77</v>
      </c>
      <c r="C103" s="10" t="s">
        <v>192</v>
      </c>
      <c r="D103" s="19">
        <v>46059</v>
      </c>
      <c r="E103" s="10">
        <v>71.599999999999994</v>
      </c>
      <c r="F103" s="10">
        <v>134</v>
      </c>
      <c r="G103" s="10">
        <v>78</v>
      </c>
      <c r="H103" s="10" t="s">
        <v>191</v>
      </c>
      <c r="I103" s="10" t="str">
        <f>IF(COUNTIF(Subjects!$A$2:$A$82,A103)=0,"Subject not in register",IF(D103&lt;INDEX(Subjects!$C$2:$C$82,MATCH(A103,Subjects!$A$2:$A$82,0)),"Visit before enrollment",IF(H103="Missed","Missed visit",IF(H103="Scheduled","OK",IF(E103="","Missing weight",IF(OR(E103&lt;'Check Rules'!$B$5,E103&gt;'Check Rules'!$B$6),"Weight out of range",IF(OR(F103&lt;'Check Rules'!$B$7,F103&gt;'Check Rules'!$B$8),"Systolic BP out of range",IF(OR(G103&lt;'Check Rules'!$B$9,G103&gt;'Check Rules'!$B$10),"Diastolic BP out of range",IF(G103&gt;=F103,"Diastolic &gt;= systolic","OK")))))))))</f>
        <v>Visit before enrollment</v>
      </c>
    </row>
    <row r="104" spans="1:9" x14ac:dyDescent="0.25">
      <c r="A104" s="10" t="s">
        <v>134</v>
      </c>
      <c r="B104" s="10" t="s">
        <v>77</v>
      </c>
      <c r="C104" s="10" t="s">
        <v>193</v>
      </c>
      <c r="D104" s="19">
        <v>46092</v>
      </c>
      <c r="E104" s="10">
        <v>70.900000000000006</v>
      </c>
      <c r="F104" s="10">
        <v>131</v>
      </c>
      <c r="G104" s="10">
        <v>76</v>
      </c>
      <c r="H104" s="10" t="s">
        <v>191</v>
      </c>
      <c r="I104" s="10" t="str">
        <f>IF(COUNTIF(Subjects!$A$2:$A$82,A104)=0,"Subject not in register",IF(D104&lt;INDEX(Subjects!$C$2:$C$82,MATCH(A104,Subjects!$A$2:$A$82,0)),"Visit before enrollment",IF(H104="Missed","Missed visit",IF(H104="Scheduled","OK",IF(E104="","Missing weight",IF(OR(E104&lt;'Check Rules'!$B$5,E104&gt;'Check Rules'!$B$6),"Weight out of range",IF(OR(F104&lt;'Check Rules'!$B$7,F104&gt;'Check Rules'!$B$8),"Systolic BP out of range",IF(OR(G104&lt;'Check Rules'!$B$9,G104&gt;'Check Rules'!$B$10),"Diastolic BP out of range",IF(G104&gt;=F104,"Diastolic &gt;= systolic","OK")))))))))</f>
        <v>OK</v>
      </c>
    </row>
    <row r="105" spans="1:9" x14ac:dyDescent="0.25">
      <c r="A105" s="10" t="s">
        <v>134</v>
      </c>
      <c r="B105" s="10" t="s">
        <v>77</v>
      </c>
      <c r="C105" s="10" t="s">
        <v>194</v>
      </c>
      <c r="D105" s="19">
        <v>46120</v>
      </c>
      <c r="E105" s="10">
        <v>71.8</v>
      </c>
      <c r="F105" s="10">
        <v>132</v>
      </c>
      <c r="G105" s="10">
        <v>75</v>
      </c>
      <c r="H105" s="10" t="s">
        <v>191</v>
      </c>
      <c r="I105" s="10" t="str">
        <f>IF(COUNTIF(Subjects!$A$2:$A$82,A105)=0,"Subject not in register",IF(D105&lt;INDEX(Subjects!$C$2:$C$82,MATCH(A105,Subjects!$A$2:$A$82,0)),"Visit before enrollment",IF(H105="Missed","Missed visit",IF(H105="Scheduled","OK",IF(E105="","Missing weight",IF(OR(E105&lt;'Check Rules'!$B$5,E105&gt;'Check Rules'!$B$6),"Weight out of range",IF(OR(F105&lt;'Check Rules'!$B$7,F105&gt;'Check Rules'!$B$8),"Systolic BP out of range",IF(OR(G105&lt;'Check Rules'!$B$9,G105&gt;'Check Rules'!$B$10),"Diastolic BP out of range",IF(G105&gt;=F105,"Diastolic &gt;= systolic","OK")))))))))</f>
        <v>OK</v>
      </c>
    </row>
    <row r="106" spans="1:9" x14ac:dyDescent="0.25">
      <c r="A106" s="10" t="s">
        <v>134</v>
      </c>
      <c r="B106" s="10" t="s">
        <v>77</v>
      </c>
      <c r="C106" s="10" t="s">
        <v>195</v>
      </c>
      <c r="D106" s="19">
        <v>46148</v>
      </c>
      <c r="E106" s="10"/>
      <c r="F106" s="10"/>
      <c r="G106" s="10"/>
      <c r="H106" s="10" t="s">
        <v>196</v>
      </c>
      <c r="I106" s="10" t="str">
        <f>IF(COUNTIF(Subjects!$A$2:$A$82,A106)=0,"Subject not in register",IF(D106&lt;INDEX(Subjects!$C$2:$C$82,MATCH(A106,Subjects!$A$2:$A$82,0)),"Visit before enrollment",IF(H106="Missed","Missed visit",IF(H106="Scheduled","OK",IF(E106="","Missing weight",IF(OR(E106&lt;'Check Rules'!$B$5,E106&gt;'Check Rules'!$B$6),"Weight out of range",IF(OR(F106&lt;'Check Rules'!$B$7,F106&gt;'Check Rules'!$B$8),"Systolic BP out of range",IF(OR(G106&lt;'Check Rules'!$B$9,G106&gt;'Check Rules'!$B$10),"Diastolic BP out of range",IF(G106&gt;=F106,"Diastolic &gt;= systolic","OK")))))))))</f>
        <v>OK</v>
      </c>
    </row>
    <row r="107" spans="1:9" x14ac:dyDescent="0.25">
      <c r="A107" s="10" t="s">
        <v>135</v>
      </c>
      <c r="B107" s="10" t="s">
        <v>78</v>
      </c>
      <c r="C107" s="10" t="s">
        <v>190</v>
      </c>
      <c r="D107" s="19">
        <v>46075</v>
      </c>
      <c r="E107" s="10">
        <v>84.7</v>
      </c>
      <c r="F107" s="10">
        <v>119</v>
      </c>
      <c r="G107" s="10">
        <v>85</v>
      </c>
      <c r="H107" s="10" t="s">
        <v>191</v>
      </c>
      <c r="I107" s="10" t="str">
        <f>IF(COUNTIF(Subjects!$A$2:$A$82,A107)=0,"Subject not in register",IF(D107&lt;INDEX(Subjects!$C$2:$C$82,MATCH(A107,Subjects!$A$2:$A$82,0)),"Visit before enrollment",IF(H107="Missed","Missed visit",IF(H107="Scheduled","OK",IF(E107="","Missing weight",IF(OR(E107&lt;'Check Rules'!$B$5,E107&gt;'Check Rules'!$B$6),"Weight out of range",IF(OR(F107&lt;'Check Rules'!$B$7,F107&gt;'Check Rules'!$B$8),"Systolic BP out of range",IF(OR(G107&lt;'Check Rules'!$B$9,G107&gt;'Check Rules'!$B$10),"Diastolic BP out of range",IF(G107&gt;=F107,"Diastolic &gt;= systolic","OK")))))))))</f>
        <v>OK</v>
      </c>
    </row>
    <row r="108" spans="1:9" x14ac:dyDescent="0.25">
      <c r="A108" s="10" t="s">
        <v>135</v>
      </c>
      <c r="B108" s="10" t="s">
        <v>78</v>
      </c>
      <c r="C108" s="10" t="s">
        <v>192</v>
      </c>
      <c r="D108" s="19">
        <v>46077</v>
      </c>
      <c r="E108" s="10">
        <v>85.1</v>
      </c>
      <c r="F108" s="10">
        <v>125</v>
      </c>
      <c r="G108" s="10">
        <v>82</v>
      </c>
      <c r="H108" s="10" t="s">
        <v>191</v>
      </c>
      <c r="I108" s="10" t="str">
        <f>IF(COUNTIF(Subjects!$A$2:$A$82,A108)=0,"Subject not in register",IF(D108&lt;INDEX(Subjects!$C$2:$C$82,MATCH(A108,Subjects!$A$2:$A$82,0)),"Visit before enrollment",IF(H108="Missed","Missed visit",IF(H108="Scheduled","OK",IF(E108="","Missing weight",IF(OR(E108&lt;'Check Rules'!$B$5,E108&gt;'Check Rules'!$B$6),"Weight out of range",IF(OR(F108&lt;'Check Rules'!$B$7,F108&gt;'Check Rules'!$B$8),"Systolic BP out of range",IF(OR(G108&lt;'Check Rules'!$B$9,G108&gt;'Check Rules'!$B$10),"Diastolic BP out of range",IF(G108&gt;=F108,"Diastolic &gt;= systolic","OK")))))))))</f>
        <v>OK</v>
      </c>
    </row>
    <row r="109" spans="1:9" x14ac:dyDescent="0.25">
      <c r="A109" s="10" t="s">
        <v>135</v>
      </c>
      <c r="B109" s="10" t="s">
        <v>78</v>
      </c>
      <c r="C109" s="10" t="s">
        <v>193</v>
      </c>
      <c r="D109" s="19">
        <v>46105</v>
      </c>
      <c r="E109" s="10">
        <v>84.8</v>
      </c>
      <c r="F109" s="10">
        <v>116</v>
      </c>
      <c r="G109" s="10">
        <v>86</v>
      </c>
      <c r="H109" s="10" t="s">
        <v>191</v>
      </c>
      <c r="I109" s="10" t="str">
        <f>IF(COUNTIF(Subjects!$A$2:$A$82,A109)=0,"Subject not in register",IF(D109&lt;INDEX(Subjects!$C$2:$C$82,MATCH(A109,Subjects!$A$2:$A$82,0)),"Visit before enrollment",IF(H109="Missed","Missed visit",IF(H109="Scheduled","OK",IF(E109="","Missing weight",IF(OR(E109&lt;'Check Rules'!$B$5,E109&gt;'Check Rules'!$B$6),"Weight out of range",IF(OR(F109&lt;'Check Rules'!$B$7,F109&gt;'Check Rules'!$B$8),"Systolic BP out of range",IF(OR(G109&lt;'Check Rules'!$B$9,G109&gt;'Check Rules'!$B$10),"Diastolic BP out of range",IF(G109&gt;=F109,"Diastolic &gt;= systolic","OK")))))))))</f>
        <v>OK</v>
      </c>
    </row>
    <row r="110" spans="1:9" x14ac:dyDescent="0.25">
      <c r="A110" s="10" t="s">
        <v>135</v>
      </c>
      <c r="B110" s="10" t="s">
        <v>78</v>
      </c>
      <c r="C110" s="10" t="s">
        <v>194</v>
      </c>
      <c r="D110" s="19">
        <v>46133</v>
      </c>
      <c r="E110" s="10">
        <v>84.1</v>
      </c>
      <c r="F110" s="10">
        <v>128</v>
      </c>
      <c r="G110" s="10">
        <v>86</v>
      </c>
      <c r="H110" s="10" t="s">
        <v>191</v>
      </c>
      <c r="I110" s="10" t="str">
        <f>IF(COUNTIF(Subjects!$A$2:$A$82,A110)=0,"Subject not in register",IF(D110&lt;INDEX(Subjects!$C$2:$C$82,MATCH(A110,Subjects!$A$2:$A$82,0)),"Visit before enrollment",IF(H110="Missed","Missed visit",IF(H110="Scheduled","OK",IF(E110="","Missing weight",IF(OR(E110&lt;'Check Rules'!$B$5,E110&gt;'Check Rules'!$B$6),"Weight out of range",IF(OR(F110&lt;'Check Rules'!$B$7,F110&gt;'Check Rules'!$B$8),"Systolic BP out of range",IF(OR(G110&lt;'Check Rules'!$B$9,G110&gt;'Check Rules'!$B$10),"Diastolic BP out of range",IF(G110&gt;=F110,"Diastolic &gt;= systolic","OK")))))))))</f>
        <v>OK</v>
      </c>
    </row>
    <row r="111" spans="1:9" x14ac:dyDescent="0.25">
      <c r="A111" s="10" t="s">
        <v>136</v>
      </c>
      <c r="B111" s="10" t="s">
        <v>76</v>
      </c>
      <c r="C111" s="10" t="s">
        <v>190</v>
      </c>
      <c r="D111" s="19">
        <v>46055</v>
      </c>
      <c r="E111" s="10">
        <v>56.9</v>
      </c>
      <c r="F111" s="10">
        <v>128</v>
      </c>
      <c r="G111" s="10">
        <v>71</v>
      </c>
      <c r="H111" s="10" t="s">
        <v>191</v>
      </c>
      <c r="I111" s="10" t="str">
        <f>IF(COUNTIF(Subjects!$A$2:$A$82,A111)=0,"Subject not in register",IF(D111&lt;INDEX(Subjects!$C$2:$C$82,MATCH(A111,Subjects!$A$2:$A$82,0)),"Visit before enrollment",IF(H111="Missed","Missed visit",IF(H111="Scheduled","OK",IF(E111="","Missing weight",IF(OR(E111&lt;'Check Rules'!$B$5,E111&gt;'Check Rules'!$B$6),"Weight out of range",IF(OR(F111&lt;'Check Rules'!$B$7,F111&gt;'Check Rules'!$B$8),"Systolic BP out of range",IF(OR(G111&lt;'Check Rules'!$B$9,G111&gt;'Check Rules'!$B$10),"Diastolic BP out of range",IF(G111&gt;=F111,"Diastolic &gt;= systolic","OK")))))))))</f>
        <v>OK</v>
      </c>
    </row>
    <row r="112" spans="1:9" x14ac:dyDescent="0.25">
      <c r="A112" s="10" t="s">
        <v>136</v>
      </c>
      <c r="B112" s="10" t="s">
        <v>76</v>
      </c>
      <c r="C112" s="10" t="s">
        <v>192</v>
      </c>
      <c r="D112" s="19">
        <v>46057</v>
      </c>
      <c r="E112" s="10">
        <v>56.9</v>
      </c>
      <c r="F112" s="10">
        <v>131</v>
      </c>
      <c r="G112" s="10">
        <v>62</v>
      </c>
      <c r="H112" s="10" t="s">
        <v>191</v>
      </c>
      <c r="I112" s="10" t="str">
        <f>IF(COUNTIF(Subjects!$A$2:$A$82,A112)=0,"Subject not in register",IF(D112&lt;INDEX(Subjects!$C$2:$C$82,MATCH(A112,Subjects!$A$2:$A$82,0)),"Visit before enrollment",IF(H112="Missed","Missed visit",IF(H112="Scheduled","OK",IF(E112="","Missing weight",IF(OR(E112&lt;'Check Rules'!$B$5,E112&gt;'Check Rules'!$B$6),"Weight out of range",IF(OR(F112&lt;'Check Rules'!$B$7,F112&gt;'Check Rules'!$B$8),"Systolic BP out of range",IF(OR(G112&lt;'Check Rules'!$B$9,G112&gt;'Check Rules'!$B$10),"Diastolic BP out of range",IF(G112&gt;=F112,"Diastolic &gt;= systolic","OK")))))))))</f>
        <v>OK</v>
      </c>
    </row>
    <row r="113" spans="1:9" x14ac:dyDescent="0.25">
      <c r="A113" s="10" t="s">
        <v>136</v>
      </c>
      <c r="B113" s="10" t="s">
        <v>76</v>
      </c>
      <c r="C113" s="10" t="s">
        <v>193</v>
      </c>
      <c r="D113" s="19">
        <v>46085</v>
      </c>
      <c r="E113" s="10">
        <v>56.7</v>
      </c>
      <c r="F113" s="10">
        <v>137</v>
      </c>
      <c r="G113" s="10">
        <v>72</v>
      </c>
      <c r="H113" s="10" t="s">
        <v>191</v>
      </c>
      <c r="I113" s="10" t="str">
        <f>IF(COUNTIF(Subjects!$A$2:$A$82,A113)=0,"Subject not in register",IF(D113&lt;INDEX(Subjects!$C$2:$C$82,MATCH(A113,Subjects!$A$2:$A$82,0)),"Visit before enrollment",IF(H113="Missed","Missed visit",IF(H113="Scheduled","OK",IF(E113="","Missing weight",IF(OR(E113&lt;'Check Rules'!$B$5,E113&gt;'Check Rules'!$B$6),"Weight out of range",IF(OR(F113&lt;'Check Rules'!$B$7,F113&gt;'Check Rules'!$B$8),"Systolic BP out of range",IF(OR(G113&lt;'Check Rules'!$B$9,G113&gt;'Check Rules'!$B$10),"Diastolic BP out of range",IF(G113&gt;=F113,"Diastolic &gt;= systolic","OK")))))))))</f>
        <v>OK</v>
      </c>
    </row>
    <row r="114" spans="1:9" x14ac:dyDescent="0.25">
      <c r="A114" s="10" t="s">
        <v>136</v>
      </c>
      <c r="B114" s="10" t="s">
        <v>76</v>
      </c>
      <c r="C114" s="10" t="s">
        <v>194</v>
      </c>
      <c r="D114" s="19">
        <v>46113</v>
      </c>
      <c r="E114" s="10">
        <v>56.4</v>
      </c>
      <c r="F114" s="10">
        <v>120</v>
      </c>
      <c r="G114" s="10">
        <v>72</v>
      </c>
      <c r="H114" s="10" t="s">
        <v>191</v>
      </c>
      <c r="I114" s="10" t="str">
        <f>IF(COUNTIF(Subjects!$A$2:$A$82,A114)=0,"Subject not in register",IF(D114&lt;INDEX(Subjects!$C$2:$C$82,MATCH(A114,Subjects!$A$2:$A$82,0)),"Visit before enrollment",IF(H114="Missed","Missed visit",IF(H114="Scheduled","OK",IF(E114="","Missing weight",IF(OR(E114&lt;'Check Rules'!$B$5,E114&gt;'Check Rules'!$B$6),"Weight out of range",IF(OR(F114&lt;'Check Rules'!$B$7,F114&gt;'Check Rules'!$B$8),"Systolic BP out of range",IF(OR(G114&lt;'Check Rules'!$B$9,G114&gt;'Check Rules'!$B$10),"Diastolic BP out of range",IF(G114&gt;=F114,"Diastolic &gt;= systolic","OK")))))))))</f>
        <v>OK</v>
      </c>
    </row>
    <row r="115" spans="1:9" x14ac:dyDescent="0.25">
      <c r="A115" s="10" t="s">
        <v>136</v>
      </c>
      <c r="B115" s="10" t="s">
        <v>76</v>
      </c>
      <c r="C115" s="10" t="s">
        <v>195</v>
      </c>
      <c r="D115" s="19">
        <v>46141</v>
      </c>
      <c r="E115" s="10">
        <v>55.3</v>
      </c>
      <c r="F115" s="10">
        <v>115</v>
      </c>
      <c r="G115" s="10">
        <v>70</v>
      </c>
      <c r="H115" s="10" t="s">
        <v>191</v>
      </c>
      <c r="I115" s="10" t="str">
        <f>IF(COUNTIF(Subjects!$A$2:$A$82,A115)=0,"Subject not in register",IF(D115&lt;INDEX(Subjects!$C$2:$C$82,MATCH(A115,Subjects!$A$2:$A$82,0)),"Visit before enrollment",IF(H115="Missed","Missed visit",IF(H115="Scheduled","OK",IF(E115="","Missing weight",IF(OR(E115&lt;'Check Rules'!$B$5,E115&gt;'Check Rules'!$B$6),"Weight out of range",IF(OR(F115&lt;'Check Rules'!$B$7,F115&gt;'Check Rules'!$B$8),"Systolic BP out of range",IF(OR(G115&lt;'Check Rules'!$B$9,G115&gt;'Check Rules'!$B$10),"Diastolic BP out of range",IF(G115&gt;=F115,"Diastolic &gt;= systolic","OK")))))))))</f>
        <v>OK</v>
      </c>
    </row>
    <row r="116" spans="1:9" x14ac:dyDescent="0.25">
      <c r="A116" s="10" t="s">
        <v>137</v>
      </c>
      <c r="B116" s="10" t="s">
        <v>75</v>
      </c>
      <c r="C116" s="10" t="s">
        <v>190</v>
      </c>
      <c r="D116" s="19">
        <v>46031</v>
      </c>
      <c r="E116" s="10">
        <v>49</v>
      </c>
      <c r="F116" s="10">
        <v>115</v>
      </c>
      <c r="G116" s="10">
        <v>71</v>
      </c>
      <c r="H116" s="10" t="s">
        <v>191</v>
      </c>
      <c r="I116" s="10" t="str">
        <f>IF(COUNTIF(Subjects!$A$2:$A$82,A116)=0,"Subject not in register",IF(D116&lt;INDEX(Subjects!$C$2:$C$82,MATCH(A116,Subjects!$A$2:$A$82,0)),"Visit before enrollment",IF(H116="Missed","Missed visit",IF(H116="Scheduled","OK",IF(E116="","Missing weight",IF(OR(E116&lt;'Check Rules'!$B$5,E116&gt;'Check Rules'!$B$6),"Weight out of range",IF(OR(F116&lt;'Check Rules'!$B$7,F116&gt;'Check Rules'!$B$8),"Systolic BP out of range",IF(OR(G116&lt;'Check Rules'!$B$9,G116&gt;'Check Rules'!$B$10),"Diastolic BP out of range",IF(G116&gt;=F116,"Diastolic &gt;= systolic","OK")))))))))</f>
        <v>OK</v>
      </c>
    </row>
    <row r="117" spans="1:9" x14ac:dyDescent="0.25">
      <c r="A117" s="10" t="s">
        <v>137</v>
      </c>
      <c r="B117" s="10" t="s">
        <v>75</v>
      </c>
      <c r="C117" s="10" t="s">
        <v>192</v>
      </c>
      <c r="D117" s="19">
        <v>46033</v>
      </c>
      <c r="E117" s="10">
        <v>49.4</v>
      </c>
      <c r="F117" s="10">
        <v>120</v>
      </c>
      <c r="G117" s="10">
        <v>75</v>
      </c>
      <c r="H117" s="10" t="s">
        <v>191</v>
      </c>
      <c r="I117" s="10" t="str">
        <f>IF(COUNTIF(Subjects!$A$2:$A$82,A117)=0,"Subject not in register",IF(D117&lt;INDEX(Subjects!$C$2:$C$82,MATCH(A117,Subjects!$A$2:$A$82,0)),"Visit before enrollment",IF(H117="Missed","Missed visit",IF(H117="Scheduled","OK",IF(E117="","Missing weight",IF(OR(E117&lt;'Check Rules'!$B$5,E117&gt;'Check Rules'!$B$6),"Weight out of range",IF(OR(F117&lt;'Check Rules'!$B$7,F117&gt;'Check Rules'!$B$8),"Systolic BP out of range",IF(OR(G117&lt;'Check Rules'!$B$9,G117&gt;'Check Rules'!$B$10),"Diastolic BP out of range",IF(G117&gt;=F117,"Diastolic &gt;= systolic","OK")))))))))</f>
        <v>OK</v>
      </c>
    </row>
    <row r="118" spans="1:9" x14ac:dyDescent="0.25">
      <c r="A118" s="10" t="s">
        <v>137</v>
      </c>
      <c r="B118" s="10" t="s">
        <v>75</v>
      </c>
      <c r="C118" s="10" t="s">
        <v>193</v>
      </c>
      <c r="D118" s="19">
        <v>46061</v>
      </c>
      <c r="E118" s="10">
        <v>47.8</v>
      </c>
      <c r="F118" s="10">
        <v>132</v>
      </c>
      <c r="G118" s="10">
        <v>73</v>
      </c>
      <c r="H118" s="10" t="s">
        <v>191</v>
      </c>
      <c r="I118" s="10" t="str">
        <f>IF(COUNTIF(Subjects!$A$2:$A$82,A118)=0,"Subject not in register",IF(D118&lt;INDEX(Subjects!$C$2:$C$82,MATCH(A118,Subjects!$A$2:$A$82,0)),"Visit before enrollment",IF(H118="Missed","Missed visit",IF(H118="Scheduled","OK",IF(E118="","Missing weight",IF(OR(E118&lt;'Check Rules'!$B$5,E118&gt;'Check Rules'!$B$6),"Weight out of range",IF(OR(F118&lt;'Check Rules'!$B$7,F118&gt;'Check Rules'!$B$8),"Systolic BP out of range",IF(OR(G118&lt;'Check Rules'!$B$9,G118&gt;'Check Rules'!$B$10),"Diastolic BP out of range",IF(G118&gt;=F118,"Diastolic &gt;= systolic","OK")))))))))</f>
        <v>OK</v>
      </c>
    </row>
    <row r="119" spans="1:9" x14ac:dyDescent="0.25">
      <c r="A119" s="10" t="s">
        <v>138</v>
      </c>
      <c r="B119" s="10" t="s">
        <v>75</v>
      </c>
      <c r="C119" s="10" t="s">
        <v>190</v>
      </c>
      <c r="D119" s="19">
        <v>46027</v>
      </c>
      <c r="E119" s="10">
        <v>74.3</v>
      </c>
      <c r="F119" s="10">
        <v>143</v>
      </c>
      <c r="G119" s="10">
        <v>71</v>
      </c>
      <c r="H119" s="10" t="s">
        <v>191</v>
      </c>
      <c r="I119" s="10" t="str">
        <f>IF(COUNTIF(Subjects!$A$2:$A$82,A119)=0,"Subject not in register",IF(D119&lt;INDEX(Subjects!$C$2:$C$82,MATCH(A119,Subjects!$A$2:$A$82,0)),"Visit before enrollment",IF(H119="Missed","Missed visit",IF(H119="Scheduled","OK",IF(E119="","Missing weight",IF(OR(E119&lt;'Check Rules'!$B$5,E119&gt;'Check Rules'!$B$6),"Weight out of range",IF(OR(F119&lt;'Check Rules'!$B$7,F119&gt;'Check Rules'!$B$8),"Systolic BP out of range",IF(OR(G119&lt;'Check Rules'!$B$9,G119&gt;'Check Rules'!$B$10),"Diastolic BP out of range",IF(G119&gt;=F119,"Diastolic &gt;= systolic","OK")))))))))</f>
        <v>OK</v>
      </c>
    </row>
    <row r="120" spans="1:9" x14ac:dyDescent="0.25">
      <c r="A120" s="10" t="s">
        <v>138</v>
      </c>
      <c r="B120" s="10" t="s">
        <v>75</v>
      </c>
      <c r="C120" s="10" t="s">
        <v>192</v>
      </c>
      <c r="D120" s="19">
        <v>46029</v>
      </c>
      <c r="E120" s="10">
        <v>74.8</v>
      </c>
      <c r="F120" s="10">
        <v>153</v>
      </c>
      <c r="G120" s="10">
        <v>75</v>
      </c>
      <c r="H120" s="10" t="s">
        <v>191</v>
      </c>
      <c r="I120" s="10" t="str">
        <f>IF(COUNTIF(Subjects!$A$2:$A$82,A120)=0,"Subject not in register",IF(D120&lt;INDEX(Subjects!$C$2:$C$82,MATCH(A120,Subjects!$A$2:$A$82,0)),"Visit before enrollment",IF(H120="Missed","Missed visit",IF(H120="Scheduled","OK",IF(E120="","Missing weight",IF(OR(E120&lt;'Check Rules'!$B$5,E120&gt;'Check Rules'!$B$6),"Weight out of range",IF(OR(F120&lt;'Check Rules'!$B$7,F120&gt;'Check Rules'!$B$8),"Systolic BP out of range",IF(OR(G120&lt;'Check Rules'!$B$9,G120&gt;'Check Rules'!$B$10),"Diastolic BP out of range",IF(G120&gt;=F120,"Diastolic &gt;= systolic","OK")))))))))</f>
        <v>OK</v>
      </c>
    </row>
    <row r="121" spans="1:9" x14ac:dyDescent="0.25">
      <c r="A121" s="10" t="s">
        <v>138</v>
      </c>
      <c r="B121" s="10" t="s">
        <v>75</v>
      </c>
      <c r="C121" s="10" t="s">
        <v>193</v>
      </c>
      <c r="D121" s="19">
        <v>46057</v>
      </c>
      <c r="E121" s="10">
        <v>74.599999999999994</v>
      </c>
      <c r="F121" s="10">
        <v>146</v>
      </c>
      <c r="G121" s="10">
        <v>74</v>
      </c>
      <c r="H121" s="10" t="s">
        <v>191</v>
      </c>
      <c r="I121" s="10" t="str">
        <f>IF(COUNTIF(Subjects!$A$2:$A$82,A121)=0,"Subject not in register",IF(D121&lt;INDEX(Subjects!$C$2:$C$82,MATCH(A121,Subjects!$A$2:$A$82,0)),"Visit before enrollment",IF(H121="Missed","Missed visit",IF(H121="Scheduled","OK",IF(E121="","Missing weight",IF(OR(E121&lt;'Check Rules'!$B$5,E121&gt;'Check Rules'!$B$6),"Weight out of range",IF(OR(F121&lt;'Check Rules'!$B$7,F121&gt;'Check Rules'!$B$8),"Systolic BP out of range",IF(OR(G121&lt;'Check Rules'!$B$9,G121&gt;'Check Rules'!$B$10),"Diastolic BP out of range",IF(G121&gt;=F121,"Diastolic &gt;= systolic","OK")))))))))</f>
        <v>OK</v>
      </c>
    </row>
    <row r="122" spans="1:9" x14ac:dyDescent="0.25">
      <c r="A122" s="10" t="s">
        <v>138</v>
      </c>
      <c r="B122" s="10" t="s">
        <v>75</v>
      </c>
      <c r="C122" s="10" t="s">
        <v>194</v>
      </c>
      <c r="D122" s="19">
        <v>46085</v>
      </c>
      <c r="E122" s="10">
        <v>74.3</v>
      </c>
      <c r="F122" s="10">
        <v>154</v>
      </c>
      <c r="G122" s="10">
        <v>78</v>
      </c>
      <c r="H122" s="10" t="s">
        <v>191</v>
      </c>
      <c r="I122" s="10" t="str">
        <f>IF(COUNTIF(Subjects!$A$2:$A$82,A122)=0,"Subject not in register",IF(D122&lt;INDEX(Subjects!$C$2:$C$82,MATCH(A122,Subjects!$A$2:$A$82,0)),"Visit before enrollment",IF(H122="Missed","Missed visit",IF(H122="Scheduled","OK",IF(E122="","Missing weight",IF(OR(E122&lt;'Check Rules'!$B$5,E122&gt;'Check Rules'!$B$6),"Weight out of range",IF(OR(F122&lt;'Check Rules'!$B$7,F122&gt;'Check Rules'!$B$8),"Systolic BP out of range",IF(OR(G122&lt;'Check Rules'!$B$9,G122&gt;'Check Rules'!$B$10),"Diastolic BP out of range",IF(G122&gt;=F122,"Diastolic &gt;= systolic","OK")))))))))</f>
        <v>OK</v>
      </c>
    </row>
    <row r="123" spans="1:9" x14ac:dyDescent="0.25">
      <c r="A123" s="10" t="s">
        <v>138</v>
      </c>
      <c r="B123" s="10" t="s">
        <v>75</v>
      </c>
      <c r="C123" s="10" t="s">
        <v>195</v>
      </c>
      <c r="D123" s="19">
        <v>46113</v>
      </c>
      <c r="E123" s="10">
        <v>73.2</v>
      </c>
      <c r="F123" s="10">
        <v>149</v>
      </c>
      <c r="G123" s="10">
        <v>76</v>
      </c>
      <c r="H123" s="10" t="s">
        <v>191</v>
      </c>
      <c r="I123" s="10" t="str">
        <f>IF(COUNTIF(Subjects!$A$2:$A$82,A123)=0,"Subject not in register",IF(D123&lt;INDEX(Subjects!$C$2:$C$82,MATCH(A123,Subjects!$A$2:$A$82,0)),"Visit before enrollment",IF(H123="Missed","Missed visit",IF(H123="Scheduled","OK",IF(E123="","Missing weight",IF(OR(E123&lt;'Check Rules'!$B$5,E123&gt;'Check Rules'!$B$6),"Weight out of range",IF(OR(F123&lt;'Check Rules'!$B$7,F123&gt;'Check Rules'!$B$8),"Systolic BP out of range",IF(OR(G123&lt;'Check Rules'!$B$9,G123&gt;'Check Rules'!$B$10),"Diastolic BP out of range",IF(G123&gt;=F123,"Diastolic &gt;= systolic","OK")))))))))</f>
        <v>OK</v>
      </c>
    </row>
    <row r="124" spans="1:9" x14ac:dyDescent="0.25">
      <c r="A124" s="10" t="s">
        <v>139</v>
      </c>
      <c r="B124" s="10" t="s">
        <v>74</v>
      </c>
      <c r="C124" s="10" t="s">
        <v>190</v>
      </c>
      <c r="D124" s="19">
        <v>46048</v>
      </c>
      <c r="E124" s="10">
        <v>64.5</v>
      </c>
      <c r="F124" s="10">
        <v>118</v>
      </c>
      <c r="G124" s="10">
        <v>86</v>
      </c>
      <c r="H124" s="10" t="s">
        <v>191</v>
      </c>
      <c r="I124" s="10" t="str">
        <f>IF(COUNTIF(Subjects!$A$2:$A$82,A124)=0,"Subject not in register",IF(D124&lt;INDEX(Subjects!$C$2:$C$82,MATCH(A124,Subjects!$A$2:$A$82,0)),"Visit before enrollment",IF(H124="Missed","Missed visit",IF(H124="Scheduled","OK",IF(E124="","Missing weight",IF(OR(E124&lt;'Check Rules'!$B$5,E124&gt;'Check Rules'!$B$6),"Weight out of range",IF(OR(F124&lt;'Check Rules'!$B$7,F124&gt;'Check Rules'!$B$8),"Systolic BP out of range",IF(OR(G124&lt;'Check Rules'!$B$9,G124&gt;'Check Rules'!$B$10),"Diastolic BP out of range",IF(G124&gt;=F124,"Diastolic &gt;= systolic","OK")))))))))</f>
        <v>OK</v>
      </c>
    </row>
    <row r="125" spans="1:9" x14ac:dyDescent="0.25">
      <c r="A125" s="10" t="s">
        <v>139</v>
      </c>
      <c r="B125" s="10" t="s">
        <v>74</v>
      </c>
      <c r="C125" s="10" t="s">
        <v>192</v>
      </c>
      <c r="D125" s="19">
        <v>46050</v>
      </c>
      <c r="E125" s="10">
        <v>64.2</v>
      </c>
      <c r="F125" s="10">
        <v>130</v>
      </c>
      <c r="G125" s="10">
        <v>77</v>
      </c>
      <c r="H125" s="10" t="s">
        <v>191</v>
      </c>
      <c r="I125" s="10" t="str">
        <f>IF(COUNTIF(Subjects!$A$2:$A$82,A125)=0,"Subject not in register",IF(D125&lt;INDEX(Subjects!$C$2:$C$82,MATCH(A125,Subjects!$A$2:$A$82,0)),"Visit before enrollment",IF(H125="Missed","Missed visit",IF(H125="Scheduled","OK",IF(E125="","Missing weight",IF(OR(E125&lt;'Check Rules'!$B$5,E125&gt;'Check Rules'!$B$6),"Weight out of range",IF(OR(F125&lt;'Check Rules'!$B$7,F125&gt;'Check Rules'!$B$8),"Systolic BP out of range",IF(OR(G125&lt;'Check Rules'!$B$9,G125&gt;'Check Rules'!$B$10),"Diastolic BP out of range",IF(G125&gt;=F125,"Diastolic &gt;= systolic","OK")))))))))</f>
        <v>OK</v>
      </c>
    </row>
    <row r="126" spans="1:9" x14ac:dyDescent="0.25">
      <c r="A126" s="10" t="s">
        <v>140</v>
      </c>
      <c r="B126" s="10" t="s">
        <v>77</v>
      </c>
      <c r="C126" s="10" t="s">
        <v>190</v>
      </c>
      <c r="D126" s="19">
        <v>46040</v>
      </c>
      <c r="E126" s="10">
        <v>68.099999999999994</v>
      </c>
      <c r="F126" s="10">
        <v>120</v>
      </c>
      <c r="G126" s="10">
        <v>81</v>
      </c>
      <c r="H126" s="10" t="s">
        <v>191</v>
      </c>
      <c r="I126" s="10" t="str">
        <f>IF(COUNTIF(Subjects!$A$2:$A$82,A126)=0,"Subject not in register",IF(D126&lt;INDEX(Subjects!$C$2:$C$82,MATCH(A126,Subjects!$A$2:$A$82,0)),"Visit before enrollment",IF(H126="Missed","Missed visit",IF(H126="Scheduled","OK",IF(E126="","Missing weight",IF(OR(E126&lt;'Check Rules'!$B$5,E126&gt;'Check Rules'!$B$6),"Weight out of range",IF(OR(F126&lt;'Check Rules'!$B$7,F126&gt;'Check Rules'!$B$8),"Systolic BP out of range",IF(OR(G126&lt;'Check Rules'!$B$9,G126&gt;'Check Rules'!$B$10),"Diastolic BP out of range",IF(G126&gt;=F126,"Diastolic &gt;= systolic","OK")))))))))</f>
        <v>OK</v>
      </c>
    </row>
    <row r="127" spans="1:9" x14ac:dyDescent="0.25">
      <c r="A127" s="10" t="s">
        <v>140</v>
      </c>
      <c r="B127" s="10" t="s">
        <v>77</v>
      </c>
      <c r="C127" s="10" t="s">
        <v>192</v>
      </c>
      <c r="D127" s="19">
        <v>46042</v>
      </c>
      <c r="E127" s="10">
        <v>70.2</v>
      </c>
      <c r="F127" s="10">
        <v>122</v>
      </c>
      <c r="G127" s="10">
        <v>89</v>
      </c>
      <c r="H127" s="10" t="s">
        <v>191</v>
      </c>
      <c r="I127" s="10" t="str">
        <f>IF(COUNTIF(Subjects!$A$2:$A$82,A127)=0,"Subject not in register",IF(D127&lt;INDEX(Subjects!$C$2:$C$82,MATCH(A127,Subjects!$A$2:$A$82,0)),"Visit before enrollment",IF(H127="Missed","Missed visit",IF(H127="Scheduled","OK",IF(E127="","Missing weight",IF(OR(E127&lt;'Check Rules'!$B$5,E127&gt;'Check Rules'!$B$6),"Weight out of range",IF(OR(F127&lt;'Check Rules'!$B$7,F127&gt;'Check Rules'!$B$8),"Systolic BP out of range",IF(OR(G127&lt;'Check Rules'!$B$9,G127&gt;'Check Rules'!$B$10),"Diastolic BP out of range",IF(G127&gt;=F127,"Diastolic &gt;= systolic","OK")))))))))</f>
        <v>OK</v>
      </c>
    </row>
    <row r="128" spans="1:9" x14ac:dyDescent="0.25">
      <c r="A128" s="10" t="s">
        <v>140</v>
      </c>
      <c r="B128" s="10" t="s">
        <v>77</v>
      </c>
      <c r="C128" s="10" t="s">
        <v>193</v>
      </c>
      <c r="D128" s="19">
        <v>46070</v>
      </c>
      <c r="E128" s="10">
        <v>70.5</v>
      </c>
      <c r="F128" s="10">
        <v>120</v>
      </c>
      <c r="G128" s="10">
        <v>85</v>
      </c>
      <c r="H128" s="10" t="s">
        <v>191</v>
      </c>
      <c r="I128" s="10" t="str">
        <f>IF(COUNTIF(Subjects!$A$2:$A$82,A128)=0,"Subject not in register",IF(D128&lt;INDEX(Subjects!$C$2:$C$82,MATCH(A128,Subjects!$A$2:$A$82,0)),"Visit before enrollment",IF(H128="Missed","Missed visit",IF(H128="Scheduled","OK",IF(E128="","Missing weight",IF(OR(E128&lt;'Check Rules'!$B$5,E128&gt;'Check Rules'!$B$6),"Weight out of range",IF(OR(F128&lt;'Check Rules'!$B$7,F128&gt;'Check Rules'!$B$8),"Systolic BP out of range",IF(OR(G128&lt;'Check Rules'!$B$9,G128&gt;'Check Rules'!$B$10),"Diastolic BP out of range",IF(G128&gt;=F128,"Diastolic &gt;= systolic","OK")))))))))</f>
        <v>OK</v>
      </c>
    </row>
    <row r="129" spans="1:9" x14ac:dyDescent="0.25">
      <c r="A129" s="10" t="s">
        <v>140</v>
      </c>
      <c r="B129" s="10" t="s">
        <v>77</v>
      </c>
      <c r="C129" s="10" t="s">
        <v>194</v>
      </c>
      <c r="D129" s="19">
        <v>46098</v>
      </c>
      <c r="E129" s="10">
        <v>70.3</v>
      </c>
      <c r="F129" s="10">
        <v>107</v>
      </c>
      <c r="G129" s="10">
        <v>82</v>
      </c>
      <c r="H129" s="10" t="s">
        <v>191</v>
      </c>
      <c r="I129" s="10" t="str">
        <f>IF(COUNTIF(Subjects!$A$2:$A$82,A129)=0,"Subject not in register",IF(D129&lt;INDEX(Subjects!$C$2:$C$82,MATCH(A129,Subjects!$A$2:$A$82,0)),"Visit before enrollment",IF(H129="Missed","Missed visit",IF(H129="Scheduled","OK",IF(E129="","Missing weight",IF(OR(E129&lt;'Check Rules'!$B$5,E129&gt;'Check Rules'!$B$6),"Weight out of range",IF(OR(F129&lt;'Check Rules'!$B$7,F129&gt;'Check Rules'!$B$8),"Systolic BP out of range",IF(OR(G129&lt;'Check Rules'!$B$9,G129&gt;'Check Rules'!$B$10),"Diastolic BP out of range",IF(G129&gt;=F129,"Diastolic &gt;= systolic","OK")))))))))</f>
        <v>OK</v>
      </c>
    </row>
    <row r="130" spans="1:9" x14ac:dyDescent="0.25">
      <c r="A130" s="10" t="s">
        <v>140</v>
      </c>
      <c r="B130" s="10" t="s">
        <v>77</v>
      </c>
      <c r="C130" s="10" t="s">
        <v>195</v>
      </c>
      <c r="D130" s="19">
        <v>46126</v>
      </c>
      <c r="E130" s="10">
        <v>70.8</v>
      </c>
      <c r="F130" s="10">
        <v>128</v>
      </c>
      <c r="G130" s="10">
        <v>92</v>
      </c>
      <c r="H130" s="10" t="s">
        <v>191</v>
      </c>
      <c r="I130" s="10" t="str">
        <f>IF(COUNTIF(Subjects!$A$2:$A$82,A130)=0,"Subject not in register",IF(D130&lt;INDEX(Subjects!$C$2:$C$82,MATCH(A130,Subjects!$A$2:$A$82,0)),"Visit before enrollment",IF(H130="Missed","Missed visit",IF(H130="Scheduled","OK",IF(E130="","Missing weight",IF(OR(E130&lt;'Check Rules'!$B$5,E130&gt;'Check Rules'!$B$6),"Weight out of range",IF(OR(F130&lt;'Check Rules'!$B$7,F130&gt;'Check Rules'!$B$8),"Systolic BP out of range",IF(OR(G130&lt;'Check Rules'!$B$9,G130&gt;'Check Rules'!$B$10),"Diastolic BP out of range",IF(G130&gt;=F130,"Diastolic &gt;= systolic","OK")))))))))</f>
        <v>OK</v>
      </c>
    </row>
    <row r="131" spans="1:9" x14ac:dyDescent="0.25">
      <c r="A131" s="10" t="s">
        <v>141</v>
      </c>
      <c r="B131" s="10" t="s">
        <v>77</v>
      </c>
      <c r="C131" s="10" t="s">
        <v>190</v>
      </c>
      <c r="D131" s="19">
        <v>46053</v>
      </c>
      <c r="E131" s="10">
        <v>78.900000000000006</v>
      </c>
      <c r="F131" s="10">
        <v>117</v>
      </c>
      <c r="G131" s="10">
        <v>81</v>
      </c>
      <c r="H131" s="10" t="s">
        <v>191</v>
      </c>
      <c r="I131" s="10" t="str">
        <f>IF(COUNTIF(Subjects!$A$2:$A$82,A131)=0,"Subject not in register",IF(D131&lt;INDEX(Subjects!$C$2:$C$82,MATCH(A131,Subjects!$A$2:$A$82,0)),"Visit before enrollment",IF(H131="Missed","Missed visit",IF(H131="Scheduled","OK",IF(E131="","Missing weight",IF(OR(E131&lt;'Check Rules'!$B$5,E131&gt;'Check Rules'!$B$6),"Weight out of range",IF(OR(F131&lt;'Check Rules'!$B$7,F131&gt;'Check Rules'!$B$8),"Systolic BP out of range",IF(OR(G131&lt;'Check Rules'!$B$9,G131&gt;'Check Rules'!$B$10),"Diastolic BP out of range",IF(G131&gt;=F131,"Diastolic &gt;= systolic","OK")))))))))</f>
        <v>OK</v>
      </c>
    </row>
    <row r="132" spans="1:9" x14ac:dyDescent="0.25">
      <c r="A132" s="10" t="s">
        <v>141</v>
      </c>
      <c r="B132" s="10" t="s">
        <v>77</v>
      </c>
      <c r="C132" s="10" t="s">
        <v>192</v>
      </c>
      <c r="D132" s="19">
        <v>46055</v>
      </c>
      <c r="E132" s="10">
        <v>79</v>
      </c>
      <c r="F132" s="10">
        <v>111</v>
      </c>
      <c r="G132" s="10">
        <v>79</v>
      </c>
      <c r="H132" s="10" t="s">
        <v>191</v>
      </c>
      <c r="I132" s="10" t="str">
        <f>IF(COUNTIF(Subjects!$A$2:$A$82,A132)=0,"Subject not in register",IF(D132&lt;INDEX(Subjects!$C$2:$C$82,MATCH(A132,Subjects!$A$2:$A$82,0)),"Visit before enrollment",IF(H132="Missed","Missed visit",IF(H132="Scheduled","OK",IF(E132="","Missing weight",IF(OR(E132&lt;'Check Rules'!$B$5,E132&gt;'Check Rules'!$B$6),"Weight out of range",IF(OR(F132&lt;'Check Rules'!$B$7,F132&gt;'Check Rules'!$B$8),"Systolic BP out of range",IF(OR(G132&lt;'Check Rules'!$B$9,G132&gt;'Check Rules'!$B$10),"Diastolic BP out of range",IF(G132&gt;=F132,"Diastolic &gt;= systolic","OK")))))))))</f>
        <v>OK</v>
      </c>
    </row>
    <row r="133" spans="1:9" x14ac:dyDescent="0.25">
      <c r="A133" s="10" t="s">
        <v>142</v>
      </c>
      <c r="B133" s="10" t="s">
        <v>77</v>
      </c>
      <c r="C133" s="10" t="s">
        <v>190</v>
      </c>
      <c r="D133" s="19">
        <v>46049</v>
      </c>
      <c r="E133" s="10">
        <v>72.400000000000006</v>
      </c>
      <c r="F133" s="10">
        <v>126</v>
      </c>
      <c r="G133" s="10">
        <v>81</v>
      </c>
      <c r="H133" s="10" t="s">
        <v>191</v>
      </c>
      <c r="I133" s="10" t="str">
        <f>IF(COUNTIF(Subjects!$A$2:$A$82,A133)=0,"Subject not in register",IF(D133&lt;INDEX(Subjects!$C$2:$C$82,MATCH(A133,Subjects!$A$2:$A$82,0)),"Visit before enrollment",IF(H133="Missed","Missed visit",IF(H133="Scheduled","OK",IF(E133="","Missing weight",IF(OR(E133&lt;'Check Rules'!$B$5,E133&gt;'Check Rules'!$B$6),"Weight out of range",IF(OR(F133&lt;'Check Rules'!$B$7,F133&gt;'Check Rules'!$B$8),"Systolic BP out of range",IF(OR(G133&lt;'Check Rules'!$B$9,G133&gt;'Check Rules'!$B$10),"Diastolic BP out of range",IF(G133&gt;=F133,"Diastolic &gt;= systolic","OK")))))))))</f>
        <v>OK</v>
      </c>
    </row>
    <row r="134" spans="1:9" x14ac:dyDescent="0.25">
      <c r="A134" s="10" t="s">
        <v>142</v>
      </c>
      <c r="B134" s="10" t="s">
        <v>77</v>
      </c>
      <c r="C134" s="10" t="s">
        <v>192</v>
      </c>
      <c r="D134" s="19">
        <v>46051</v>
      </c>
      <c r="E134" s="10">
        <v>72.400000000000006</v>
      </c>
      <c r="F134" s="10">
        <v>116</v>
      </c>
      <c r="G134" s="10">
        <v>87</v>
      </c>
      <c r="H134" s="10" t="s">
        <v>191</v>
      </c>
      <c r="I134" s="10" t="str">
        <f>IF(COUNTIF(Subjects!$A$2:$A$82,A134)=0,"Subject not in register",IF(D134&lt;INDEX(Subjects!$C$2:$C$82,MATCH(A134,Subjects!$A$2:$A$82,0)),"Visit before enrollment",IF(H134="Missed","Missed visit",IF(H134="Scheduled","OK",IF(E134="","Missing weight",IF(OR(E134&lt;'Check Rules'!$B$5,E134&gt;'Check Rules'!$B$6),"Weight out of range",IF(OR(F134&lt;'Check Rules'!$B$7,F134&gt;'Check Rules'!$B$8),"Systolic BP out of range",IF(OR(G134&lt;'Check Rules'!$B$9,G134&gt;'Check Rules'!$B$10),"Diastolic BP out of range",IF(G134&gt;=F134,"Diastolic &gt;= systolic","OK")))))))))</f>
        <v>OK</v>
      </c>
    </row>
    <row r="135" spans="1:9" x14ac:dyDescent="0.25">
      <c r="A135" s="10" t="s">
        <v>142</v>
      </c>
      <c r="B135" s="10" t="s">
        <v>77</v>
      </c>
      <c r="C135" s="10" t="s">
        <v>193</v>
      </c>
      <c r="D135" s="19">
        <v>46079</v>
      </c>
      <c r="E135" s="10">
        <v>72.3</v>
      </c>
      <c r="F135" s="10">
        <v>123</v>
      </c>
      <c r="G135" s="10">
        <v>78</v>
      </c>
      <c r="H135" s="10" t="s">
        <v>191</v>
      </c>
      <c r="I135" s="10" t="str">
        <f>IF(COUNTIF(Subjects!$A$2:$A$82,A135)=0,"Subject not in register",IF(D135&lt;INDEX(Subjects!$C$2:$C$82,MATCH(A135,Subjects!$A$2:$A$82,0)),"Visit before enrollment",IF(H135="Missed","Missed visit",IF(H135="Scheduled","OK",IF(E135="","Missing weight",IF(OR(E135&lt;'Check Rules'!$B$5,E135&gt;'Check Rules'!$B$6),"Weight out of range",IF(OR(F135&lt;'Check Rules'!$B$7,F135&gt;'Check Rules'!$B$8),"Systolic BP out of range",IF(OR(G135&lt;'Check Rules'!$B$9,G135&gt;'Check Rules'!$B$10),"Diastolic BP out of range",IF(G135&gt;=F135,"Diastolic &gt;= systolic","OK")))))))))</f>
        <v>OK</v>
      </c>
    </row>
    <row r="136" spans="1:9" x14ac:dyDescent="0.25">
      <c r="A136" s="10" t="s">
        <v>143</v>
      </c>
      <c r="B136" s="10" t="s">
        <v>74</v>
      </c>
      <c r="C136" s="10" t="s">
        <v>190</v>
      </c>
      <c r="D136" s="19">
        <v>46070</v>
      </c>
      <c r="E136" s="10">
        <v>62.5</v>
      </c>
      <c r="F136" s="10">
        <v>136</v>
      </c>
      <c r="G136" s="10">
        <v>84</v>
      </c>
      <c r="H136" s="10" t="s">
        <v>191</v>
      </c>
      <c r="I136" s="10" t="str">
        <f>IF(COUNTIF(Subjects!$A$2:$A$82,A136)=0,"Subject not in register",IF(D136&lt;INDEX(Subjects!$C$2:$C$82,MATCH(A136,Subjects!$A$2:$A$82,0)),"Visit before enrollment",IF(H136="Missed","Missed visit",IF(H136="Scheduled","OK",IF(E136="","Missing weight",IF(OR(E136&lt;'Check Rules'!$B$5,E136&gt;'Check Rules'!$B$6),"Weight out of range",IF(OR(F136&lt;'Check Rules'!$B$7,F136&gt;'Check Rules'!$B$8),"Systolic BP out of range",IF(OR(G136&lt;'Check Rules'!$B$9,G136&gt;'Check Rules'!$B$10),"Diastolic BP out of range",IF(G136&gt;=F136,"Diastolic &gt;= systolic","OK")))))))))</f>
        <v>OK</v>
      </c>
    </row>
    <row r="137" spans="1:9" x14ac:dyDescent="0.25">
      <c r="A137" s="10" t="s">
        <v>143</v>
      </c>
      <c r="B137" s="10" t="s">
        <v>74</v>
      </c>
      <c r="C137" s="10" t="s">
        <v>192</v>
      </c>
      <c r="D137" s="19">
        <v>46072</v>
      </c>
      <c r="E137" s="10">
        <v>62</v>
      </c>
      <c r="F137" s="10">
        <v>128</v>
      </c>
      <c r="G137" s="10">
        <v>78</v>
      </c>
      <c r="H137" s="10" t="s">
        <v>191</v>
      </c>
      <c r="I137" s="10" t="str">
        <f>IF(COUNTIF(Subjects!$A$2:$A$82,A137)=0,"Subject not in register",IF(D137&lt;INDEX(Subjects!$C$2:$C$82,MATCH(A137,Subjects!$A$2:$A$82,0)),"Visit before enrollment",IF(H137="Missed","Missed visit",IF(H137="Scheduled","OK",IF(E137="","Missing weight",IF(OR(E137&lt;'Check Rules'!$B$5,E137&gt;'Check Rules'!$B$6),"Weight out of range",IF(OR(F137&lt;'Check Rules'!$B$7,F137&gt;'Check Rules'!$B$8),"Systolic BP out of range",IF(OR(G137&lt;'Check Rules'!$B$9,G137&gt;'Check Rules'!$B$10),"Diastolic BP out of range",IF(G137&gt;=F137,"Diastolic &gt;= systolic","OK")))))))))</f>
        <v>OK</v>
      </c>
    </row>
    <row r="138" spans="1:9" x14ac:dyDescent="0.25">
      <c r="A138" s="10" t="s">
        <v>144</v>
      </c>
      <c r="B138" s="10" t="s">
        <v>76</v>
      </c>
      <c r="C138" s="10" t="s">
        <v>190</v>
      </c>
      <c r="D138" s="19">
        <v>46033</v>
      </c>
      <c r="E138" s="10">
        <v>73.900000000000006</v>
      </c>
      <c r="F138" s="10">
        <v>116</v>
      </c>
      <c r="G138" s="10">
        <v>73</v>
      </c>
      <c r="H138" s="10" t="s">
        <v>191</v>
      </c>
      <c r="I138" s="10" t="str">
        <f>IF(COUNTIF(Subjects!$A$2:$A$82,A138)=0,"Subject not in register",IF(D138&lt;INDEX(Subjects!$C$2:$C$82,MATCH(A138,Subjects!$A$2:$A$82,0)),"Visit before enrollment",IF(H138="Missed","Missed visit",IF(H138="Scheduled","OK",IF(E138="","Missing weight",IF(OR(E138&lt;'Check Rules'!$B$5,E138&gt;'Check Rules'!$B$6),"Weight out of range",IF(OR(F138&lt;'Check Rules'!$B$7,F138&gt;'Check Rules'!$B$8),"Systolic BP out of range",IF(OR(G138&lt;'Check Rules'!$B$9,G138&gt;'Check Rules'!$B$10),"Diastolic BP out of range",IF(G138&gt;=F138,"Diastolic &gt;= systolic","OK")))))))))</f>
        <v>OK</v>
      </c>
    </row>
    <row r="139" spans="1:9" x14ac:dyDescent="0.25">
      <c r="A139" s="10" t="s">
        <v>144</v>
      </c>
      <c r="B139" s="10" t="s">
        <v>76</v>
      </c>
      <c r="C139" s="10" t="s">
        <v>192</v>
      </c>
      <c r="D139" s="19">
        <v>46035</v>
      </c>
      <c r="E139" s="10">
        <v>72.7</v>
      </c>
      <c r="F139" s="10">
        <v>122</v>
      </c>
      <c r="G139" s="10">
        <v>81</v>
      </c>
      <c r="H139" s="10" t="s">
        <v>191</v>
      </c>
      <c r="I139" s="10" t="str">
        <f>IF(COUNTIF(Subjects!$A$2:$A$82,A139)=0,"Subject not in register",IF(D139&lt;INDEX(Subjects!$C$2:$C$82,MATCH(A139,Subjects!$A$2:$A$82,0)),"Visit before enrollment",IF(H139="Missed","Missed visit",IF(H139="Scheduled","OK",IF(E139="","Missing weight",IF(OR(E139&lt;'Check Rules'!$B$5,E139&gt;'Check Rules'!$B$6),"Weight out of range",IF(OR(F139&lt;'Check Rules'!$B$7,F139&gt;'Check Rules'!$B$8),"Systolic BP out of range",IF(OR(G139&lt;'Check Rules'!$B$9,G139&gt;'Check Rules'!$B$10),"Diastolic BP out of range",IF(G139&gt;=F139,"Diastolic &gt;= systolic","OK")))))))))</f>
        <v>OK</v>
      </c>
    </row>
    <row r="140" spans="1:9" x14ac:dyDescent="0.25">
      <c r="A140" s="10" t="s">
        <v>144</v>
      </c>
      <c r="B140" s="10" t="s">
        <v>76</v>
      </c>
      <c r="C140" s="10" t="s">
        <v>193</v>
      </c>
      <c r="D140" s="19">
        <v>46063</v>
      </c>
      <c r="E140" s="10">
        <v>73.900000000000006</v>
      </c>
      <c r="F140" s="10">
        <v>126</v>
      </c>
      <c r="G140" s="10">
        <v>78</v>
      </c>
      <c r="H140" s="10" t="s">
        <v>191</v>
      </c>
      <c r="I140" s="10" t="str">
        <f>IF(COUNTIF(Subjects!$A$2:$A$82,A140)=0,"Subject not in register",IF(D140&lt;INDEX(Subjects!$C$2:$C$82,MATCH(A140,Subjects!$A$2:$A$82,0)),"Visit before enrollment",IF(H140="Missed","Missed visit",IF(H140="Scheduled","OK",IF(E140="","Missing weight",IF(OR(E140&lt;'Check Rules'!$B$5,E140&gt;'Check Rules'!$B$6),"Weight out of range",IF(OR(F140&lt;'Check Rules'!$B$7,F140&gt;'Check Rules'!$B$8),"Systolic BP out of range",IF(OR(G140&lt;'Check Rules'!$B$9,G140&gt;'Check Rules'!$B$10),"Diastolic BP out of range",IF(G140&gt;=F140,"Diastolic &gt;= systolic","OK")))))))))</f>
        <v>OK</v>
      </c>
    </row>
    <row r="141" spans="1:9" x14ac:dyDescent="0.25">
      <c r="A141" s="10" t="s">
        <v>144</v>
      </c>
      <c r="B141" s="10" t="s">
        <v>76</v>
      </c>
      <c r="C141" s="10" t="s">
        <v>194</v>
      </c>
      <c r="D141" s="19">
        <v>46091</v>
      </c>
      <c r="E141" s="10">
        <v>73.2</v>
      </c>
      <c r="F141" s="10">
        <v>114</v>
      </c>
      <c r="G141" s="10">
        <v>76</v>
      </c>
      <c r="H141" s="10" t="s">
        <v>191</v>
      </c>
      <c r="I141" s="10" t="str">
        <f>IF(COUNTIF(Subjects!$A$2:$A$82,A141)=0,"Subject not in register",IF(D141&lt;INDEX(Subjects!$C$2:$C$82,MATCH(A141,Subjects!$A$2:$A$82,0)),"Visit before enrollment",IF(H141="Missed","Missed visit",IF(H141="Scheduled","OK",IF(E141="","Missing weight",IF(OR(E141&lt;'Check Rules'!$B$5,E141&gt;'Check Rules'!$B$6),"Weight out of range",IF(OR(F141&lt;'Check Rules'!$B$7,F141&gt;'Check Rules'!$B$8),"Systolic BP out of range",IF(OR(G141&lt;'Check Rules'!$B$9,G141&gt;'Check Rules'!$B$10),"Diastolic BP out of range",IF(G141&gt;=F141,"Diastolic &gt;= systolic","OK")))))))))</f>
        <v>OK</v>
      </c>
    </row>
    <row r="142" spans="1:9" x14ac:dyDescent="0.25">
      <c r="A142" s="10" t="s">
        <v>145</v>
      </c>
      <c r="B142" s="10" t="s">
        <v>77</v>
      </c>
      <c r="C142" s="10" t="s">
        <v>190</v>
      </c>
      <c r="D142" s="19">
        <v>46035</v>
      </c>
      <c r="E142" s="10">
        <v>48.2</v>
      </c>
      <c r="F142" s="10">
        <v>109</v>
      </c>
      <c r="G142" s="10">
        <v>84</v>
      </c>
      <c r="H142" s="10" t="s">
        <v>191</v>
      </c>
      <c r="I142" s="10" t="str">
        <f>IF(COUNTIF(Subjects!$A$2:$A$82,A142)=0,"Subject not in register",IF(D142&lt;INDEX(Subjects!$C$2:$C$82,MATCH(A142,Subjects!$A$2:$A$82,0)),"Visit before enrollment",IF(H142="Missed","Missed visit",IF(H142="Scheduled","OK",IF(E142="","Missing weight",IF(OR(E142&lt;'Check Rules'!$B$5,E142&gt;'Check Rules'!$B$6),"Weight out of range",IF(OR(F142&lt;'Check Rules'!$B$7,F142&gt;'Check Rules'!$B$8),"Systolic BP out of range",IF(OR(G142&lt;'Check Rules'!$B$9,G142&gt;'Check Rules'!$B$10),"Diastolic BP out of range",IF(G142&gt;=F142,"Diastolic &gt;= systolic","OK")))))))))</f>
        <v>OK</v>
      </c>
    </row>
    <row r="143" spans="1:9" x14ac:dyDescent="0.25">
      <c r="A143" s="10" t="s">
        <v>145</v>
      </c>
      <c r="B143" s="10" t="s">
        <v>77</v>
      </c>
      <c r="C143" s="10" t="s">
        <v>192</v>
      </c>
      <c r="D143" s="19">
        <v>46037</v>
      </c>
      <c r="E143" s="10">
        <v>47.7</v>
      </c>
      <c r="F143" s="10">
        <v>108</v>
      </c>
      <c r="G143" s="10">
        <v>83</v>
      </c>
      <c r="H143" s="10" t="s">
        <v>191</v>
      </c>
      <c r="I143" s="10" t="str">
        <f>IF(COUNTIF(Subjects!$A$2:$A$82,A143)=0,"Subject not in register",IF(D143&lt;INDEX(Subjects!$C$2:$C$82,MATCH(A143,Subjects!$A$2:$A$82,0)),"Visit before enrollment",IF(H143="Missed","Missed visit",IF(H143="Scheduled","OK",IF(E143="","Missing weight",IF(OR(E143&lt;'Check Rules'!$B$5,E143&gt;'Check Rules'!$B$6),"Weight out of range",IF(OR(F143&lt;'Check Rules'!$B$7,F143&gt;'Check Rules'!$B$8),"Systolic BP out of range",IF(OR(G143&lt;'Check Rules'!$B$9,G143&gt;'Check Rules'!$B$10),"Diastolic BP out of range",IF(G143&gt;=F143,"Diastolic &gt;= systolic","OK")))))))))</f>
        <v>OK</v>
      </c>
    </row>
    <row r="144" spans="1:9" x14ac:dyDescent="0.25">
      <c r="A144" s="10" t="s">
        <v>145</v>
      </c>
      <c r="B144" s="10" t="s">
        <v>77</v>
      </c>
      <c r="C144" s="10" t="s">
        <v>193</v>
      </c>
      <c r="D144" s="19">
        <v>46065</v>
      </c>
      <c r="E144" s="10">
        <v>47.7</v>
      </c>
      <c r="F144" s="10">
        <v>119</v>
      </c>
      <c r="G144" s="10">
        <v>80</v>
      </c>
      <c r="H144" s="10" t="s">
        <v>191</v>
      </c>
      <c r="I144" s="10" t="str">
        <f>IF(COUNTIF(Subjects!$A$2:$A$82,A144)=0,"Subject not in register",IF(D144&lt;INDEX(Subjects!$C$2:$C$82,MATCH(A144,Subjects!$A$2:$A$82,0)),"Visit before enrollment",IF(H144="Missed","Missed visit",IF(H144="Scheduled","OK",IF(E144="","Missing weight",IF(OR(E144&lt;'Check Rules'!$B$5,E144&gt;'Check Rules'!$B$6),"Weight out of range",IF(OR(F144&lt;'Check Rules'!$B$7,F144&gt;'Check Rules'!$B$8),"Systolic BP out of range",IF(OR(G144&lt;'Check Rules'!$B$9,G144&gt;'Check Rules'!$B$10),"Diastolic BP out of range",IF(G144&gt;=F144,"Diastolic &gt;= systolic","OK")))))))))</f>
        <v>OK</v>
      </c>
    </row>
    <row r="145" spans="1:9" x14ac:dyDescent="0.25">
      <c r="A145" s="10" t="s">
        <v>146</v>
      </c>
      <c r="B145" s="10" t="s">
        <v>75</v>
      </c>
      <c r="C145" s="10" t="s">
        <v>190</v>
      </c>
      <c r="D145" s="19">
        <v>46031</v>
      </c>
      <c r="E145" s="10">
        <v>49.6</v>
      </c>
      <c r="F145" s="10">
        <v>143</v>
      </c>
      <c r="G145" s="10">
        <v>77</v>
      </c>
      <c r="H145" s="10" t="s">
        <v>191</v>
      </c>
      <c r="I145" s="10" t="str">
        <f>IF(COUNTIF(Subjects!$A$2:$A$82,A145)=0,"Subject not in register",IF(D145&lt;INDEX(Subjects!$C$2:$C$82,MATCH(A145,Subjects!$A$2:$A$82,0)),"Visit before enrollment",IF(H145="Missed","Missed visit",IF(H145="Scheduled","OK",IF(E145="","Missing weight",IF(OR(E145&lt;'Check Rules'!$B$5,E145&gt;'Check Rules'!$B$6),"Weight out of range",IF(OR(F145&lt;'Check Rules'!$B$7,F145&gt;'Check Rules'!$B$8),"Systolic BP out of range",IF(OR(G145&lt;'Check Rules'!$B$9,G145&gt;'Check Rules'!$B$10),"Diastolic BP out of range",IF(G145&gt;=F145,"Diastolic &gt;= systolic","OK")))))))))</f>
        <v>OK</v>
      </c>
    </row>
    <row r="146" spans="1:9" x14ac:dyDescent="0.25">
      <c r="A146" s="10" t="s">
        <v>146</v>
      </c>
      <c r="B146" s="10" t="s">
        <v>75</v>
      </c>
      <c r="C146" s="10" t="s">
        <v>192</v>
      </c>
      <c r="D146" s="19">
        <v>46033</v>
      </c>
      <c r="E146" s="10">
        <v>49.2</v>
      </c>
      <c r="F146" s="10">
        <v>136</v>
      </c>
      <c r="G146" s="10">
        <v>69</v>
      </c>
      <c r="H146" s="10" t="s">
        <v>191</v>
      </c>
      <c r="I146" s="10" t="str">
        <f>IF(COUNTIF(Subjects!$A$2:$A$82,A146)=0,"Subject not in register",IF(D146&lt;INDEX(Subjects!$C$2:$C$82,MATCH(A146,Subjects!$A$2:$A$82,0)),"Visit before enrollment",IF(H146="Missed","Missed visit",IF(H146="Scheduled","OK",IF(E146="","Missing weight",IF(OR(E146&lt;'Check Rules'!$B$5,E146&gt;'Check Rules'!$B$6),"Weight out of range",IF(OR(F146&lt;'Check Rules'!$B$7,F146&gt;'Check Rules'!$B$8),"Systolic BP out of range",IF(OR(G146&lt;'Check Rules'!$B$9,G146&gt;'Check Rules'!$B$10),"Diastolic BP out of range",IF(G146&gt;=F146,"Diastolic &gt;= systolic","OK")))))))))</f>
        <v>OK</v>
      </c>
    </row>
    <row r="147" spans="1:9" x14ac:dyDescent="0.25">
      <c r="A147" s="10" t="s">
        <v>146</v>
      </c>
      <c r="B147" s="10" t="s">
        <v>75</v>
      </c>
      <c r="C147" s="10" t="s">
        <v>193</v>
      </c>
      <c r="D147" s="19">
        <v>46061</v>
      </c>
      <c r="E147" s="10">
        <v>48.1</v>
      </c>
      <c r="F147" s="10">
        <v>135</v>
      </c>
      <c r="G147" s="10">
        <v>64</v>
      </c>
      <c r="H147" s="10" t="s">
        <v>191</v>
      </c>
      <c r="I147" s="10" t="str">
        <f>IF(COUNTIF(Subjects!$A$2:$A$82,A147)=0,"Subject not in register",IF(D147&lt;INDEX(Subjects!$C$2:$C$82,MATCH(A147,Subjects!$A$2:$A$82,0)),"Visit before enrollment",IF(H147="Missed","Missed visit",IF(H147="Scheduled","OK",IF(E147="","Missing weight",IF(OR(E147&lt;'Check Rules'!$B$5,E147&gt;'Check Rules'!$B$6),"Weight out of range",IF(OR(F147&lt;'Check Rules'!$B$7,F147&gt;'Check Rules'!$B$8),"Systolic BP out of range",IF(OR(G147&lt;'Check Rules'!$B$9,G147&gt;'Check Rules'!$B$10),"Diastolic BP out of range",IF(G147&gt;=F147,"Diastolic &gt;= systolic","OK")))))))))</f>
        <v>OK</v>
      </c>
    </row>
    <row r="148" spans="1:9" x14ac:dyDescent="0.25">
      <c r="A148" s="10" t="s">
        <v>147</v>
      </c>
      <c r="B148" s="10" t="s">
        <v>78</v>
      </c>
      <c r="C148" s="10" t="s">
        <v>190</v>
      </c>
      <c r="D148" s="19">
        <v>46027</v>
      </c>
      <c r="E148" s="10">
        <v>79.8</v>
      </c>
      <c r="F148" s="10">
        <v>119</v>
      </c>
      <c r="G148" s="10">
        <v>82</v>
      </c>
      <c r="H148" s="10" t="s">
        <v>191</v>
      </c>
      <c r="I148" s="10" t="str">
        <f>IF(COUNTIF(Subjects!$A$2:$A$82,A148)=0,"Subject not in register",IF(D148&lt;INDEX(Subjects!$C$2:$C$82,MATCH(A148,Subjects!$A$2:$A$82,0)),"Visit before enrollment",IF(H148="Missed","Missed visit",IF(H148="Scheduled","OK",IF(E148="","Missing weight",IF(OR(E148&lt;'Check Rules'!$B$5,E148&gt;'Check Rules'!$B$6),"Weight out of range",IF(OR(F148&lt;'Check Rules'!$B$7,F148&gt;'Check Rules'!$B$8),"Systolic BP out of range",IF(OR(G148&lt;'Check Rules'!$B$9,G148&gt;'Check Rules'!$B$10),"Diastolic BP out of range",IF(G148&gt;=F148,"Diastolic &gt;= systolic","OK")))))))))</f>
        <v>OK</v>
      </c>
    </row>
    <row r="149" spans="1:9" x14ac:dyDescent="0.25">
      <c r="A149" s="10" t="s">
        <v>147</v>
      </c>
      <c r="B149" s="10" t="s">
        <v>78</v>
      </c>
      <c r="C149" s="10" t="s">
        <v>192</v>
      </c>
      <c r="D149" s="19">
        <v>46029</v>
      </c>
      <c r="E149" s="10">
        <v>80.5</v>
      </c>
      <c r="F149" s="10">
        <v>108</v>
      </c>
      <c r="G149" s="10">
        <v>83</v>
      </c>
      <c r="H149" s="10" t="s">
        <v>191</v>
      </c>
      <c r="I149" s="10" t="str">
        <f>IF(COUNTIF(Subjects!$A$2:$A$82,A149)=0,"Subject not in register",IF(D149&lt;INDEX(Subjects!$C$2:$C$82,MATCH(A149,Subjects!$A$2:$A$82,0)),"Visit before enrollment",IF(H149="Missed","Missed visit",IF(H149="Scheduled","OK",IF(E149="","Missing weight",IF(OR(E149&lt;'Check Rules'!$B$5,E149&gt;'Check Rules'!$B$6),"Weight out of range",IF(OR(F149&lt;'Check Rules'!$B$7,F149&gt;'Check Rules'!$B$8),"Systolic BP out of range",IF(OR(G149&lt;'Check Rules'!$B$9,G149&gt;'Check Rules'!$B$10),"Diastolic BP out of range",IF(G149&gt;=F149,"Diastolic &gt;= systolic","OK")))))))))</f>
        <v>OK</v>
      </c>
    </row>
    <row r="150" spans="1:9" x14ac:dyDescent="0.25">
      <c r="A150" s="10" t="s">
        <v>147</v>
      </c>
      <c r="B150" s="10" t="s">
        <v>78</v>
      </c>
      <c r="C150" s="10" t="s">
        <v>193</v>
      </c>
      <c r="D150" s="19">
        <v>46057</v>
      </c>
      <c r="E150" s="10">
        <v>81.599999999999994</v>
      </c>
      <c r="F150" s="10">
        <v>116</v>
      </c>
      <c r="G150" s="10">
        <v>86</v>
      </c>
      <c r="H150" s="10" t="s">
        <v>191</v>
      </c>
      <c r="I150" s="10" t="str">
        <f>IF(COUNTIF(Subjects!$A$2:$A$82,A150)=0,"Subject not in register",IF(D150&lt;INDEX(Subjects!$C$2:$C$82,MATCH(A150,Subjects!$A$2:$A$82,0)),"Visit before enrollment",IF(H150="Missed","Missed visit",IF(H150="Scheduled","OK",IF(E150="","Missing weight",IF(OR(E150&lt;'Check Rules'!$B$5,E150&gt;'Check Rules'!$B$6),"Weight out of range",IF(OR(F150&lt;'Check Rules'!$B$7,F150&gt;'Check Rules'!$B$8),"Systolic BP out of range",IF(OR(G150&lt;'Check Rules'!$B$9,G150&gt;'Check Rules'!$B$10),"Diastolic BP out of range",IF(G150&gt;=F150,"Diastolic &gt;= systolic","OK")))))))))</f>
        <v>OK</v>
      </c>
    </row>
    <row r="151" spans="1:9" x14ac:dyDescent="0.25">
      <c r="A151" s="10" t="s">
        <v>147</v>
      </c>
      <c r="B151" s="10" t="s">
        <v>78</v>
      </c>
      <c r="C151" s="10" t="s">
        <v>194</v>
      </c>
      <c r="D151" s="19">
        <v>46085</v>
      </c>
      <c r="E151" s="10">
        <v>80.400000000000006</v>
      </c>
      <c r="F151" s="10">
        <v>115</v>
      </c>
      <c r="G151" s="10">
        <v>87</v>
      </c>
      <c r="H151" s="10" t="s">
        <v>191</v>
      </c>
      <c r="I151" s="10" t="str">
        <f>IF(COUNTIF(Subjects!$A$2:$A$82,A151)=0,"Subject not in register",IF(D151&lt;INDEX(Subjects!$C$2:$C$82,MATCH(A151,Subjects!$A$2:$A$82,0)),"Visit before enrollment",IF(H151="Missed","Missed visit",IF(H151="Scheduled","OK",IF(E151="","Missing weight",IF(OR(E151&lt;'Check Rules'!$B$5,E151&gt;'Check Rules'!$B$6),"Weight out of range",IF(OR(F151&lt;'Check Rules'!$B$7,F151&gt;'Check Rules'!$B$8),"Systolic BP out of range",IF(OR(G151&lt;'Check Rules'!$B$9,G151&gt;'Check Rules'!$B$10),"Diastolic BP out of range",IF(G151&gt;=F151,"Diastolic &gt;= systolic","OK")))))))))</f>
        <v>OK</v>
      </c>
    </row>
    <row r="152" spans="1:9" x14ac:dyDescent="0.25">
      <c r="A152" s="10" t="s">
        <v>148</v>
      </c>
      <c r="B152" s="10" t="s">
        <v>77</v>
      </c>
      <c r="C152" s="10" t="s">
        <v>190</v>
      </c>
      <c r="D152" s="19">
        <v>46057</v>
      </c>
      <c r="E152" s="10">
        <v>74.5</v>
      </c>
      <c r="F152" s="10">
        <v>107</v>
      </c>
      <c r="G152" s="10">
        <v>82</v>
      </c>
      <c r="H152" s="10" t="s">
        <v>191</v>
      </c>
      <c r="I152" s="10" t="str">
        <f>IF(COUNTIF(Subjects!$A$2:$A$82,A152)=0,"Subject not in register",IF(D152&lt;INDEX(Subjects!$C$2:$C$82,MATCH(A152,Subjects!$A$2:$A$82,0)),"Visit before enrollment",IF(H152="Missed","Missed visit",IF(H152="Scheduled","OK",IF(E152="","Missing weight",IF(OR(E152&lt;'Check Rules'!$B$5,E152&gt;'Check Rules'!$B$6),"Weight out of range",IF(OR(F152&lt;'Check Rules'!$B$7,F152&gt;'Check Rules'!$B$8),"Systolic BP out of range",IF(OR(G152&lt;'Check Rules'!$B$9,G152&gt;'Check Rules'!$B$10),"Diastolic BP out of range",IF(G152&gt;=F152,"Diastolic &gt;= systolic","OK")))))))))</f>
        <v>OK</v>
      </c>
    </row>
    <row r="153" spans="1:9" x14ac:dyDescent="0.25">
      <c r="A153" s="10" t="s">
        <v>148</v>
      </c>
      <c r="B153" s="10" t="s">
        <v>77</v>
      </c>
      <c r="C153" s="10" t="s">
        <v>192</v>
      </c>
      <c r="D153" s="19">
        <v>46059</v>
      </c>
      <c r="E153" s="10">
        <v>73.3</v>
      </c>
      <c r="F153" s="10">
        <v>109</v>
      </c>
      <c r="G153" s="10">
        <v>84</v>
      </c>
      <c r="H153" s="10" t="s">
        <v>191</v>
      </c>
      <c r="I153" s="10" t="str">
        <f>IF(COUNTIF(Subjects!$A$2:$A$82,A153)=0,"Subject not in register",IF(D153&lt;INDEX(Subjects!$C$2:$C$82,MATCH(A153,Subjects!$A$2:$A$82,0)),"Visit before enrollment",IF(H153="Missed","Missed visit",IF(H153="Scheduled","OK",IF(E153="","Missing weight",IF(OR(E153&lt;'Check Rules'!$B$5,E153&gt;'Check Rules'!$B$6),"Weight out of range",IF(OR(F153&lt;'Check Rules'!$B$7,F153&gt;'Check Rules'!$B$8),"Systolic BP out of range",IF(OR(G153&lt;'Check Rules'!$B$9,G153&gt;'Check Rules'!$B$10),"Diastolic BP out of range",IF(G153&gt;=F153,"Diastolic &gt;= systolic","OK")))))))))</f>
        <v>OK</v>
      </c>
    </row>
    <row r="154" spans="1:9" x14ac:dyDescent="0.25">
      <c r="A154" s="10" t="s">
        <v>148</v>
      </c>
      <c r="B154" s="10" t="s">
        <v>77</v>
      </c>
      <c r="C154" s="10" t="s">
        <v>193</v>
      </c>
      <c r="D154" s="19">
        <v>46087</v>
      </c>
      <c r="E154" s="10">
        <v>72.3</v>
      </c>
      <c r="F154" s="10">
        <v>108</v>
      </c>
      <c r="G154" s="10">
        <v>83</v>
      </c>
      <c r="H154" s="10" t="s">
        <v>191</v>
      </c>
      <c r="I154" s="10" t="str">
        <f>IF(COUNTIF(Subjects!$A$2:$A$82,A154)=0,"Subject not in register",IF(D154&lt;INDEX(Subjects!$C$2:$C$82,MATCH(A154,Subjects!$A$2:$A$82,0)),"Visit before enrollment",IF(H154="Missed","Missed visit",IF(H154="Scheduled","OK",IF(E154="","Missing weight",IF(OR(E154&lt;'Check Rules'!$B$5,E154&gt;'Check Rules'!$B$6),"Weight out of range",IF(OR(F154&lt;'Check Rules'!$B$7,F154&gt;'Check Rules'!$B$8),"Systolic BP out of range",IF(OR(G154&lt;'Check Rules'!$B$9,G154&gt;'Check Rules'!$B$10),"Diastolic BP out of range",IF(G154&gt;=F154,"Diastolic &gt;= systolic","OK")))))))))</f>
        <v>OK</v>
      </c>
    </row>
    <row r="155" spans="1:9" x14ac:dyDescent="0.25">
      <c r="A155" s="10" t="s">
        <v>148</v>
      </c>
      <c r="B155" s="10" t="s">
        <v>77</v>
      </c>
      <c r="C155" s="10" t="s">
        <v>194</v>
      </c>
      <c r="D155" s="19">
        <v>46115</v>
      </c>
      <c r="E155" s="10">
        <v>75.599999999999994</v>
      </c>
      <c r="F155" s="10">
        <v>103</v>
      </c>
      <c r="G155" s="10">
        <v>78</v>
      </c>
      <c r="H155" s="10" t="s">
        <v>191</v>
      </c>
      <c r="I155" s="10" t="str">
        <f>IF(COUNTIF(Subjects!$A$2:$A$82,A155)=0,"Subject not in register",IF(D155&lt;INDEX(Subjects!$C$2:$C$82,MATCH(A155,Subjects!$A$2:$A$82,0)),"Visit before enrollment",IF(H155="Missed","Missed visit",IF(H155="Scheduled","OK",IF(E155="","Missing weight",IF(OR(E155&lt;'Check Rules'!$B$5,E155&gt;'Check Rules'!$B$6),"Weight out of range",IF(OR(F155&lt;'Check Rules'!$B$7,F155&gt;'Check Rules'!$B$8),"Systolic BP out of range",IF(OR(G155&lt;'Check Rules'!$B$9,G155&gt;'Check Rules'!$B$10),"Diastolic BP out of range",IF(G155&gt;=F155,"Diastolic &gt;= systolic","OK")))))))))</f>
        <v>OK</v>
      </c>
    </row>
    <row r="156" spans="1:9" x14ac:dyDescent="0.25">
      <c r="A156" s="10" t="s">
        <v>148</v>
      </c>
      <c r="B156" s="10" t="s">
        <v>77</v>
      </c>
      <c r="C156" s="10" t="s">
        <v>195</v>
      </c>
      <c r="D156" s="19">
        <v>46143</v>
      </c>
      <c r="E156" s="10"/>
      <c r="F156" s="10"/>
      <c r="G156" s="10"/>
      <c r="H156" s="10" t="s">
        <v>196</v>
      </c>
      <c r="I156" s="10" t="str">
        <f>IF(COUNTIF(Subjects!$A$2:$A$82,A156)=0,"Subject not in register",IF(D156&lt;INDEX(Subjects!$C$2:$C$82,MATCH(A156,Subjects!$A$2:$A$82,0)),"Visit before enrollment",IF(H156="Missed","Missed visit",IF(H156="Scheduled","OK",IF(E156="","Missing weight",IF(OR(E156&lt;'Check Rules'!$B$5,E156&gt;'Check Rules'!$B$6),"Weight out of range",IF(OR(F156&lt;'Check Rules'!$B$7,F156&gt;'Check Rules'!$B$8),"Systolic BP out of range",IF(OR(G156&lt;'Check Rules'!$B$9,G156&gt;'Check Rules'!$B$10),"Diastolic BP out of range",IF(G156&gt;=F156,"Diastolic &gt;= systolic","OK")))))))))</f>
        <v>OK</v>
      </c>
    </row>
    <row r="157" spans="1:9" x14ac:dyDescent="0.25">
      <c r="A157" s="10" t="s">
        <v>149</v>
      </c>
      <c r="B157" s="10" t="s">
        <v>77</v>
      </c>
      <c r="C157" s="10" t="s">
        <v>190</v>
      </c>
      <c r="D157" s="19">
        <v>46027</v>
      </c>
      <c r="E157" s="10">
        <v>89.9</v>
      </c>
      <c r="F157" s="10">
        <v>131</v>
      </c>
      <c r="G157" s="10">
        <v>78</v>
      </c>
      <c r="H157" s="10" t="s">
        <v>191</v>
      </c>
      <c r="I157" s="10" t="str">
        <f>IF(COUNTIF(Subjects!$A$2:$A$82,A157)=0,"Subject not in register",IF(D157&lt;INDEX(Subjects!$C$2:$C$82,MATCH(A157,Subjects!$A$2:$A$82,0)),"Visit before enrollment",IF(H157="Missed","Missed visit",IF(H157="Scheduled","OK",IF(E157="","Missing weight",IF(OR(E157&lt;'Check Rules'!$B$5,E157&gt;'Check Rules'!$B$6),"Weight out of range",IF(OR(F157&lt;'Check Rules'!$B$7,F157&gt;'Check Rules'!$B$8),"Systolic BP out of range",IF(OR(G157&lt;'Check Rules'!$B$9,G157&gt;'Check Rules'!$B$10),"Diastolic BP out of range",IF(G157&gt;=F157,"Diastolic &gt;= systolic","OK")))))))))</f>
        <v>OK</v>
      </c>
    </row>
    <row r="158" spans="1:9" x14ac:dyDescent="0.25">
      <c r="A158" s="10" t="s">
        <v>149</v>
      </c>
      <c r="B158" s="10" t="s">
        <v>77</v>
      </c>
      <c r="C158" s="10" t="s">
        <v>192</v>
      </c>
      <c r="D158" s="19">
        <v>46029</v>
      </c>
      <c r="E158" s="10">
        <v>89</v>
      </c>
      <c r="F158" s="10">
        <v>138</v>
      </c>
      <c r="G158" s="10">
        <v>77</v>
      </c>
      <c r="H158" s="10" t="s">
        <v>191</v>
      </c>
      <c r="I158" s="10" t="str">
        <f>IF(COUNTIF(Subjects!$A$2:$A$82,A158)=0,"Subject not in register",IF(D158&lt;INDEX(Subjects!$C$2:$C$82,MATCH(A158,Subjects!$A$2:$A$82,0)),"Visit before enrollment",IF(H158="Missed","Missed visit",IF(H158="Scheduled","OK",IF(E158="","Missing weight",IF(OR(E158&lt;'Check Rules'!$B$5,E158&gt;'Check Rules'!$B$6),"Weight out of range",IF(OR(F158&lt;'Check Rules'!$B$7,F158&gt;'Check Rules'!$B$8),"Systolic BP out of range",IF(OR(G158&lt;'Check Rules'!$B$9,G158&gt;'Check Rules'!$B$10),"Diastolic BP out of range",IF(G158&gt;=F158,"Diastolic &gt;= systolic","OK")))))))))</f>
        <v>OK</v>
      </c>
    </row>
    <row r="159" spans="1:9" x14ac:dyDescent="0.25">
      <c r="A159" s="10" t="s">
        <v>149</v>
      </c>
      <c r="B159" s="10" t="s">
        <v>77</v>
      </c>
      <c r="C159" s="10" t="s">
        <v>193</v>
      </c>
      <c r="D159" s="19">
        <v>46057</v>
      </c>
      <c r="E159" s="10">
        <v>89.8</v>
      </c>
      <c r="F159" s="10">
        <v>133</v>
      </c>
      <c r="G159" s="10">
        <v>80</v>
      </c>
      <c r="H159" s="10" t="s">
        <v>191</v>
      </c>
      <c r="I159" s="10" t="str">
        <f>IF(COUNTIF(Subjects!$A$2:$A$82,A159)=0,"Subject not in register",IF(D159&lt;INDEX(Subjects!$C$2:$C$82,MATCH(A159,Subjects!$A$2:$A$82,0)),"Visit before enrollment",IF(H159="Missed","Missed visit",IF(H159="Scheduled","OK",IF(E159="","Missing weight",IF(OR(E159&lt;'Check Rules'!$B$5,E159&gt;'Check Rules'!$B$6),"Weight out of range",IF(OR(F159&lt;'Check Rules'!$B$7,F159&gt;'Check Rules'!$B$8),"Systolic BP out of range",IF(OR(G159&lt;'Check Rules'!$B$9,G159&gt;'Check Rules'!$B$10),"Diastolic BP out of range",IF(G159&gt;=F159,"Diastolic &gt;= systolic","OK")))))))))</f>
        <v>OK</v>
      </c>
    </row>
    <row r="160" spans="1:9" x14ac:dyDescent="0.25">
      <c r="A160" s="10" t="s">
        <v>149</v>
      </c>
      <c r="B160" s="10" t="s">
        <v>77</v>
      </c>
      <c r="C160" s="10" t="s">
        <v>194</v>
      </c>
      <c r="D160" s="19">
        <v>46085</v>
      </c>
      <c r="E160" s="10">
        <v>90.7</v>
      </c>
      <c r="F160" s="10">
        <v>122</v>
      </c>
      <c r="G160" s="10">
        <v>86</v>
      </c>
      <c r="H160" s="10" t="s">
        <v>191</v>
      </c>
      <c r="I160" s="10" t="str">
        <f>IF(COUNTIF(Subjects!$A$2:$A$82,A160)=0,"Subject not in register",IF(D160&lt;INDEX(Subjects!$C$2:$C$82,MATCH(A160,Subjects!$A$2:$A$82,0)),"Visit before enrollment",IF(H160="Missed","Missed visit",IF(H160="Scheduled","OK",IF(E160="","Missing weight",IF(OR(E160&lt;'Check Rules'!$B$5,E160&gt;'Check Rules'!$B$6),"Weight out of range",IF(OR(F160&lt;'Check Rules'!$B$7,F160&gt;'Check Rules'!$B$8),"Systolic BP out of range",IF(OR(G160&lt;'Check Rules'!$B$9,G160&gt;'Check Rules'!$B$10),"Diastolic BP out of range",IF(G160&gt;=F160,"Diastolic &gt;= systolic","OK")))))))))</f>
        <v>OK</v>
      </c>
    </row>
    <row r="161" spans="1:9" x14ac:dyDescent="0.25">
      <c r="A161" s="10" t="s">
        <v>150</v>
      </c>
      <c r="B161" s="10" t="s">
        <v>77</v>
      </c>
      <c r="C161" s="10" t="s">
        <v>190</v>
      </c>
      <c r="D161" s="19">
        <v>46071</v>
      </c>
      <c r="E161" s="10">
        <v>68.5</v>
      </c>
      <c r="F161" s="10">
        <v>119</v>
      </c>
      <c r="G161" s="10">
        <v>90</v>
      </c>
      <c r="H161" s="10" t="s">
        <v>191</v>
      </c>
      <c r="I161" s="10" t="str">
        <f>IF(COUNTIF(Subjects!$A$2:$A$82,A161)=0,"Subject not in register",IF(D161&lt;INDEX(Subjects!$C$2:$C$82,MATCH(A161,Subjects!$A$2:$A$82,0)),"Visit before enrollment",IF(H161="Missed","Missed visit",IF(H161="Scheduled","OK",IF(E161="","Missing weight",IF(OR(E161&lt;'Check Rules'!$B$5,E161&gt;'Check Rules'!$B$6),"Weight out of range",IF(OR(F161&lt;'Check Rules'!$B$7,F161&gt;'Check Rules'!$B$8),"Systolic BP out of range",IF(OR(G161&lt;'Check Rules'!$B$9,G161&gt;'Check Rules'!$B$10),"Diastolic BP out of range",IF(G161&gt;=F161,"Diastolic &gt;= systolic","OK")))))))))</f>
        <v>OK</v>
      </c>
    </row>
    <row r="162" spans="1:9" x14ac:dyDescent="0.25">
      <c r="A162" s="10" t="s">
        <v>150</v>
      </c>
      <c r="B162" s="10" t="s">
        <v>77</v>
      </c>
      <c r="C162" s="10" t="s">
        <v>192</v>
      </c>
      <c r="D162" s="19">
        <v>46073</v>
      </c>
      <c r="E162" s="10">
        <v>70.400000000000006</v>
      </c>
      <c r="F162" s="10">
        <v>119</v>
      </c>
      <c r="G162" s="10">
        <v>87</v>
      </c>
      <c r="H162" s="10" t="s">
        <v>191</v>
      </c>
      <c r="I162" s="10" t="str">
        <f>IF(COUNTIF(Subjects!$A$2:$A$82,A162)=0,"Subject not in register",IF(D162&lt;INDEX(Subjects!$C$2:$C$82,MATCH(A162,Subjects!$A$2:$A$82,0)),"Visit before enrollment",IF(H162="Missed","Missed visit",IF(H162="Scheduled","OK",IF(E162="","Missing weight",IF(OR(E162&lt;'Check Rules'!$B$5,E162&gt;'Check Rules'!$B$6),"Weight out of range",IF(OR(F162&lt;'Check Rules'!$B$7,F162&gt;'Check Rules'!$B$8),"Systolic BP out of range",IF(OR(G162&lt;'Check Rules'!$B$9,G162&gt;'Check Rules'!$B$10),"Diastolic BP out of range",IF(G162&gt;=F162,"Diastolic &gt;= systolic","OK")))))))))</f>
        <v>OK</v>
      </c>
    </row>
    <row r="163" spans="1:9" x14ac:dyDescent="0.25">
      <c r="A163" s="10" t="s">
        <v>150</v>
      </c>
      <c r="B163" s="10" t="s">
        <v>77</v>
      </c>
      <c r="C163" s="10" t="s">
        <v>193</v>
      </c>
      <c r="D163" s="19">
        <v>46101</v>
      </c>
      <c r="E163" s="10">
        <v>68.7</v>
      </c>
      <c r="F163" s="10">
        <v>119</v>
      </c>
      <c r="G163" s="10">
        <v>86</v>
      </c>
      <c r="H163" s="10" t="s">
        <v>191</v>
      </c>
      <c r="I163" s="10" t="str">
        <f>IF(COUNTIF(Subjects!$A$2:$A$82,A163)=0,"Subject not in register",IF(D163&lt;INDEX(Subjects!$C$2:$C$82,MATCH(A163,Subjects!$A$2:$A$82,0)),"Visit before enrollment",IF(H163="Missed","Missed visit",IF(H163="Scheduled","OK",IF(E163="","Missing weight",IF(OR(E163&lt;'Check Rules'!$B$5,E163&gt;'Check Rules'!$B$6),"Weight out of range",IF(OR(F163&lt;'Check Rules'!$B$7,F163&gt;'Check Rules'!$B$8),"Systolic BP out of range",IF(OR(G163&lt;'Check Rules'!$B$9,G163&gt;'Check Rules'!$B$10),"Diastolic BP out of range",IF(G163&gt;=F163,"Diastolic &gt;= systolic","OK")))))))))</f>
        <v>OK</v>
      </c>
    </row>
    <row r="164" spans="1:9" x14ac:dyDescent="0.25">
      <c r="A164" s="10" t="s">
        <v>150</v>
      </c>
      <c r="B164" s="10" t="s">
        <v>77</v>
      </c>
      <c r="C164" s="10" t="s">
        <v>194</v>
      </c>
      <c r="D164" s="19">
        <v>46129</v>
      </c>
      <c r="E164" s="10">
        <v>69.8</v>
      </c>
      <c r="F164" s="10">
        <v>117</v>
      </c>
      <c r="G164" s="10">
        <v>85</v>
      </c>
      <c r="H164" s="10" t="s">
        <v>191</v>
      </c>
      <c r="I164" s="10" t="str">
        <f>IF(COUNTIF(Subjects!$A$2:$A$82,A164)=0,"Subject not in register",IF(D164&lt;INDEX(Subjects!$C$2:$C$82,MATCH(A164,Subjects!$A$2:$A$82,0)),"Visit before enrollment",IF(H164="Missed","Missed visit",IF(H164="Scheduled","OK",IF(E164="","Missing weight",IF(OR(E164&lt;'Check Rules'!$B$5,E164&gt;'Check Rules'!$B$6),"Weight out of range",IF(OR(F164&lt;'Check Rules'!$B$7,F164&gt;'Check Rules'!$B$8),"Systolic BP out of range",IF(OR(G164&lt;'Check Rules'!$B$9,G164&gt;'Check Rules'!$B$10),"Diastolic BP out of range",IF(G164&gt;=F164,"Diastolic &gt;= systolic","OK")))))))))</f>
        <v>OK</v>
      </c>
    </row>
    <row r="165" spans="1:9" x14ac:dyDescent="0.25">
      <c r="A165" s="10" t="s">
        <v>150</v>
      </c>
      <c r="B165" s="10" t="s">
        <v>77</v>
      </c>
      <c r="C165" s="10" t="s">
        <v>195</v>
      </c>
      <c r="D165" s="19">
        <v>46157</v>
      </c>
      <c r="E165" s="10"/>
      <c r="F165" s="10"/>
      <c r="G165" s="10"/>
      <c r="H165" s="10" t="s">
        <v>196</v>
      </c>
      <c r="I165" s="10" t="str">
        <f>IF(COUNTIF(Subjects!$A$2:$A$82,A165)=0,"Subject not in register",IF(D165&lt;INDEX(Subjects!$C$2:$C$82,MATCH(A165,Subjects!$A$2:$A$82,0)),"Visit before enrollment",IF(H165="Missed","Missed visit",IF(H165="Scheduled","OK",IF(E165="","Missing weight",IF(OR(E165&lt;'Check Rules'!$B$5,E165&gt;'Check Rules'!$B$6),"Weight out of range",IF(OR(F165&lt;'Check Rules'!$B$7,F165&gt;'Check Rules'!$B$8),"Systolic BP out of range",IF(OR(G165&lt;'Check Rules'!$B$9,G165&gt;'Check Rules'!$B$10),"Diastolic BP out of range",IF(G165&gt;=F165,"Diastolic &gt;= systolic","OK")))))))))</f>
        <v>OK</v>
      </c>
    </row>
    <row r="166" spans="1:9" x14ac:dyDescent="0.25">
      <c r="A166" s="10" t="s">
        <v>151</v>
      </c>
      <c r="B166" s="10" t="s">
        <v>76</v>
      </c>
      <c r="C166" s="10" t="s">
        <v>190</v>
      </c>
      <c r="D166" s="19">
        <v>46040</v>
      </c>
      <c r="E166" s="10">
        <v>63.6</v>
      </c>
      <c r="F166" s="10">
        <v>122</v>
      </c>
      <c r="G166" s="10">
        <v>73</v>
      </c>
      <c r="H166" s="10" t="s">
        <v>191</v>
      </c>
      <c r="I166" s="10" t="str">
        <f>IF(COUNTIF(Subjects!$A$2:$A$82,A166)=0,"Subject not in register",IF(D166&lt;INDEX(Subjects!$C$2:$C$82,MATCH(A166,Subjects!$A$2:$A$82,0)),"Visit before enrollment",IF(H166="Missed","Missed visit",IF(H166="Scheduled","OK",IF(E166="","Missing weight",IF(OR(E166&lt;'Check Rules'!$B$5,E166&gt;'Check Rules'!$B$6),"Weight out of range",IF(OR(F166&lt;'Check Rules'!$B$7,F166&gt;'Check Rules'!$B$8),"Systolic BP out of range",IF(OR(G166&lt;'Check Rules'!$B$9,G166&gt;'Check Rules'!$B$10),"Diastolic BP out of range",IF(G166&gt;=F166,"Diastolic &gt;= systolic","OK")))))))))</f>
        <v>OK</v>
      </c>
    </row>
    <row r="167" spans="1:9" x14ac:dyDescent="0.25">
      <c r="A167" s="10" t="s">
        <v>151</v>
      </c>
      <c r="B167" s="10" t="s">
        <v>76</v>
      </c>
      <c r="C167" s="10" t="s">
        <v>192</v>
      </c>
      <c r="D167" s="19">
        <v>46042</v>
      </c>
      <c r="E167" s="10">
        <v>66.400000000000006</v>
      </c>
      <c r="F167" s="10">
        <v>133</v>
      </c>
      <c r="G167" s="10">
        <v>75</v>
      </c>
      <c r="H167" s="10" t="s">
        <v>191</v>
      </c>
      <c r="I167" s="10" t="str">
        <f>IF(COUNTIF(Subjects!$A$2:$A$82,A167)=0,"Subject not in register",IF(D167&lt;INDEX(Subjects!$C$2:$C$82,MATCH(A167,Subjects!$A$2:$A$82,0)),"Visit before enrollment",IF(H167="Missed","Missed visit",IF(H167="Scheduled","OK",IF(E167="","Missing weight",IF(OR(E167&lt;'Check Rules'!$B$5,E167&gt;'Check Rules'!$B$6),"Weight out of range",IF(OR(F167&lt;'Check Rules'!$B$7,F167&gt;'Check Rules'!$B$8),"Systolic BP out of range",IF(OR(G167&lt;'Check Rules'!$B$9,G167&gt;'Check Rules'!$B$10),"Diastolic BP out of range",IF(G167&gt;=F167,"Diastolic &gt;= systolic","OK")))))))))</f>
        <v>OK</v>
      </c>
    </row>
    <row r="168" spans="1:9" x14ac:dyDescent="0.25">
      <c r="A168" s="10" t="s">
        <v>151</v>
      </c>
      <c r="B168" s="10" t="s">
        <v>76</v>
      </c>
      <c r="C168" s="10" t="s">
        <v>193</v>
      </c>
      <c r="D168" s="19">
        <v>46070</v>
      </c>
      <c r="E168" s="10">
        <v>64</v>
      </c>
      <c r="F168" s="10">
        <v>137</v>
      </c>
      <c r="G168" s="10">
        <v>75</v>
      </c>
      <c r="H168" s="10" t="s">
        <v>191</v>
      </c>
      <c r="I168" s="10" t="str">
        <f>IF(COUNTIF(Subjects!$A$2:$A$82,A168)=0,"Subject not in register",IF(D168&lt;INDEX(Subjects!$C$2:$C$82,MATCH(A168,Subjects!$A$2:$A$82,0)),"Visit before enrollment",IF(H168="Missed","Missed visit",IF(H168="Scheduled","OK",IF(E168="","Missing weight",IF(OR(E168&lt;'Check Rules'!$B$5,E168&gt;'Check Rules'!$B$6),"Weight out of range",IF(OR(F168&lt;'Check Rules'!$B$7,F168&gt;'Check Rules'!$B$8),"Systolic BP out of range",IF(OR(G168&lt;'Check Rules'!$B$9,G168&gt;'Check Rules'!$B$10),"Diastolic BP out of range",IF(G168&gt;=F168,"Diastolic &gt;= systolic","OK")))))))))</f>
        <v>OK</v>
      </c>
    </row>
    <row r="169" spans="1:9" x14ac:dyDescent="0.25">
      <c r="A169" s="10" t="s">
        <v>151</v>
      </c>
      <c r="B169" s="10" t="s">
        <v>76</v>
      </c>
      <c r="C169" s="10" t="s">
        <v>194</v>
      </c>
      <c r="D169" s="19">
        <v>46098</v>
      </c>
      <c r="E169" s="10">
        <v>65.099999999999994</v>
      </c>
      <c r="F169" s="10">
        <v>120</v>
      </c>
      <c r="G169" s="10">
        <v>70</v>
      </c>
      <c r="H169" s="10" t="s">
        <v>191</v>
      </c>
      <c r="I169" s="10" t="str">
        <f>IF(COUNTIF(Subjects!$A$2:$A$82,A169)=0,"Subject not in register",IF(D169&lt;INDEX(Subjects!$C$2:$C$82,MATCH(A169,Subjects!$A$2:$A$82,0)),"Visit before enrollment",IF(H169="Missed","Missed visit",IF(H169="Scheduled","OK",IF(E169="","Missing weight",IF(OR(E169&lt;'Check Rules'!$B$5,E169&gt;'Check Rules'!$B$6),"Weight out of range",IF(OR(F169&lt;'Check Rules'!$B$7,F169&gt;'Check Rules'!$B$8),"Systolic BP out of range",IF(OR(G169&lt;'Check Rules'!$B$9,G169&gt;'Check Rules'!$B$10),"Diastolic BP out of range",IF(G169&gt;=F169,"Diastolic &gt;= systolic","OK")))))))))</f>
        <v>OK</v>
      </c>
    </row>
    <row r="170" spans="1:9" x14ac:dyDescent="0.25">
      <c r="A170" s="10" t="s">
        <v>151</v>
      </c>
      <c r="B170" s="10" t="s">
        <v>76</v>
      </c>
      <c r="C170" s="10" t="s">
        <v>195</v>
      </c>
      <c r="D170" s="19">
        <v>46126</v>
      </c>
      <c r="E170" s="10">
        <v>65.8</v>
      </c>
      <c r="F170" s="10">
        <v>126</v>
      </c>
      <c r="G170" s="10">
        <v>66</v>
      </c>
      <c r="H170" s="10" t="s">
        <v>191</v>
      </c>
      <c r="I170" s="10" t="str">
        <f>IF(COUNTIF(Subjects!$A$2:$A$82,A170)=0,"Subject not in register",IF(D170&lt;INDEX(Subjects!$C$2:$C$82,MATCH(A170,Subjects!$A$2:$A$82,0)),"Visit before enrollment",IF(H170="Missed","Missed visit",IF(H170="Scheduled","OK",IF(E170="","Missing weight",IF(OR(E170&lt;'Check Rules'!$B$5,E170&gt;'Check Rules'!$B$6),"Weight out of range",IF(OR(F170&lt;'Check Rules'!$B$7,F170&gt;'Check Rules'!$B$8),"Systolic BP out of range",IF(OR(G170&lt;'Check Rules'!$B$9,G170&gt;'Check Rules'!$B$10),"Diastolic BP out of range",IF(G170&gt;=F170,"Diastolic &gt;= systolic","OK")))))))))</f>
        <v>OK</v>
      </c>
    </row>
    <row r="171" spans="1:9" x14ac:dyDescent="0.25">
      <c r="A171" s="10" t="s">
        <v>152</v>
      </c>
      <c r="B171" s="10" t="s">
        <v>74</v>
      </c>
      <c r="C171" s="10" t="s">
        <v>190</v>
      </c>
      <c r="D171" s="19">
        <v>46064</v>
      </c>
      <c r="E171" s="10">
        <v>64.400000000000006</v>
      </c>
      <c r="F171" s="10">
        <v>103</v>
      </c>
      <c r="G171" s="10">
        <v>78</v>
      </c>
      <c r="H171" s="10" t="s">
        <v>191</v>
      </c>
      <c r="I171" s="10" t="str">
        <f>IF(COUNTIF(Subjects!$A$2:$A$82,A171)=0,"Subject not in register",IF(D171&lt;INDEX(Subjects!$C$2:$C$82,MATCH(A171,Subjects!$A$2:$A$82,0)),"Visit before enrollment",IF(H171="Missed","Missed visit",IF(H171="Scheduled","OK",IF(E171="","Missing weight",IF(OR(E171&lt;'Check Rules'!$B$5,E171&gt;'Check Rules'!$B$6),"Weight out of range",IF(OR(F171&lt;'Check Rules'!$B$7,F171&gt;'Check Rules'!$B$8),"Systolic BP out of range",IF(OR(G171&lt;'Check Rules'!$B$9,G171&gt;'Check Rules'!$B$10),"Diastolic BP out of range",IF(G171&gt;=F171,"Diastolic &gt;= systolic","OK")))))))))</f>
        <v>OK</v>
      </c>
    </row>
    <row r="172" spans="1:9" x14ac:dyDescent="0.25">
      <c r="A172" s="10" t="s">
        <v>152</v>
      </c>
      <c r="B172" s="10" t="s">
        <v>74</v>
      </c>
      <c r="C172" s="10" t="s">
        <v>192</v>
      </c>
      <c r="D172" s="19">
        <v>46066</v>
      </c>
      <c r="E172" s="10">
        <v>64.099999999999994</v>
      </c>
      <c r="F172" s="10">
        <v>110</v>
      </c>
      <c r="G172" s="10">
        <v>85</v>
      </c>
      <c r="H172" s="10" t="s">
        <v>191</v>
      </c>
      <c r="I172" s="10" t="str">
        <f>IF(COUNTIF(Subjects!$A$2:$A$82,A172)=0,"Subject not in register",IF(D172&lt;INDEX(Subjects!$C$2:$C$82,MATCH(A172,Subjects!$A$2:$A$82,0)),"Visit before enrollment",IF(H172="Missed","Missed visit",IF(H172="Scheduled","OK",IF(E172="","Missing weight",IF(OR(E172&lt;'Check Rules'!$B$5,E172&gt;'Check Rules'!$B$6),"Weight out of range",IF(OR(F172&lt;'Check Rules'!$B$7,F172&gt;'Check Rules'!$B$8),"Systolic BP out of range",IF(OR(G172&lt;'Check Rules'!$B$9,G172&gt;'Check Rules'!$B$10),"Diastolic BP out of range",IF(G172&gt;=F172,"Diastolic &gt;= systolic","OK")))))))))</f>
        <v>OK</v>
      </c>
    </row>
    <row r="173" spans="1:9" x14ac:dyDescent="0.25">
      <c r="A173" s="10" t="s">
        <v>152</v>
      </c>
      <c r="B173" s="10" t="s">
        <v>74</v>
      </c>
      <c r="C173" s="10" t="s">
        <v>193</v>
      </c>
      <c r="D173" s="19">
        <v>46094</v>
      </c>
      <c r="E173" s="10">
        <v>64.5</v>
      </c>
      <c r="F173" s="10">
        <v>108</v>
      </c>
      <c r="G173" s="10">
        <v>82</v>
      </c>
      <c r="H173" s="10" t="s">
        <v>191</v>
      </c>
      <c r="I173" s="10" t="str">
        <f>IF(COUNTIF(Subjects!$A$2:$A$82,A173)=0,"Subject not in register",IF(D173&lt;INDEX(Subjects!$C$2:$C$82,MATCH(A173,Subjects!$A$2:$A$82,0)),"Visit before enrollment",IF(H173="Missed","Missed visit",IF(H173="Scheduled","OK",IF(E173="","Missing weight",IF(OR(E173&lt;'Check Rules'!$B$5,E173&gt;'Check Rules'!$B$6),"Weight out of range",IF(OR(F173&lt;'Check Rules'!$B$7,F173&gt;'Check Rules'!$B$8),"Systolic BP out of range",IF(OR(G173&lt;'Check Rules'!$B$9,G173&gt;'Check Rules'!$B$10),"Diastolic BP out of range",IF(G173&gt;=F173,"Diastolic &gt;= systolic","OK")))))))))</f>
        <v>OK</v>
      </c>
    </row>
    <row r="174" spans="1:9" x14ac:dyDescent="0.25">
      <c r="A174" s="10" t="s">
        <v>153</v>
      </c>
      <c r="B174" s="10" t="s">
        <v>74</v>
      </c>
      <c r="C174" s="10" t="s">
        <v>190</v>
      </c>
      <c r="D174" s="19">
        <v>46038</v>
      </c>
      <c r="E174" s="10">
        <v>71.2</v>
      </c>
      <c r="F174" s="10">
        <v>148</v>
      </c>
      <c r="G174" s="10">
        <v>88</v>
      </c>
      <c r="H174" s="10" t="s">
        <v>191</v>
      </c>
      <c r="I174" s="10" t="str">
        <f>IF(COUNTIF(Subjects!$A$2:$A$82,A174)=0,"Subject not in register",IF(D174&lt;INDEX(Subjects!$C$2:$C$82,MATCH(A174,Subjects!$A$2:$A$82,0)),"Visit before enrollment",IF(H174="Missed","Missed visit",IF(H174="Scheduled","OK",IF(E174="","Missing weight",IF(OR(E174&lt;'Check Rules'!$B$5,E174&gt;'Check Rules'!$B$6),"Weight out of range",IF(OR(F174&lt;'Check Rules'!$B$7,F174&gt;'Check Rules'!$B$8),"Systolic BP out of range",IF(OR(G174&lt;'Check Rules'!$B$9,G174&gt;'Check Rules'!$B$10),"Diastolic BP out of range",IF(G174&gt;=F174,"Diastolic &gt;= systolic","OK")))))))))</f>
        <v>OK</v>
      </c>
    </row>
    <row r="175" spans="1:9" x14ac:dyDescent="0.25">
      <c r="A175" s="10" t="s">
        <v>153</v>
      </c>
      <c r="B175" s="10" t="s">
        <v>74</v>
      </c>
      <c r="C175" s="10" t="s">
        <v>192</v>
      </c>
      <c r="D175" s="19">
        <v>46040</v>
      </c>
      <c r="E175" s="10">
        <v>71.3</v>
      </c>
      <c r="F175" s="10">
        <v>141</v>
      </c>
      <c r="G175" s="10">
        <v>77</v>
      </c>
      <c r="H175" s="10" t="s">
        <v>191</v>
      </c>
      <c r="I175" s="10" t="str">
        <f>IF(COUNTIF(Subjects!$A$2:$A$82,A175)=0,"Subject not in register",IF(D175&lt;INDEX(Subjects!$C$2:$C$82,MATCH(A175,Subjects!$A$2:$A$82,0)),"Visit before enrollment",IF(H175="Missed","Missed visit",IF(H175="Scheduled","OK",IF(E175="","Missing weight",IF(OR(E175&lt;'Check Rules'!$B$5,E175&gt;'Check Rules'!$B$6),"Weight out of range",IF(OR(F175&lt;'Check Rules'!$B$7,F175&gt;'Check Rules'!$B$8),"Systolic BP out of range",IF(OR(G175&lt;'Check Rules'!$B$9,G175&gt;'Check Rules'!$B$10),"Diastolic BP out of range",IF(G175&gt;=F175,"Diastolic &gt;= systolic","OK")))))))))</f>
        <v>OK</v>
      </c>
    </row>
    <row r="176" spans="1:9" x14ac:dyDescent="0.25">
      <c r="A176" s="10" t="s">
        <v>153</v>
      </c>
      <c r="B176" s="10" t="s">
        <v>74</v>
      </c>
      <c r="C176" s="10" t="s">
        <v>193</v>
      </c>
      <c r="D176" s="19">
        <v>46068</v>
      </c>
      <c r="E176" s="10">
        <v>69.900000000000006</v>
      </c>
      <c r="F176" s="10">
        <v>136</v>
      </c>
      <c r="G176" s="10">
        <v>80</v>
      </c>
      <c r="H176" s="10" t="s">
        <v>191</v>
      </c>
      <c r="I176" s="10" t="str">
        <f>IF(COUNTIF(Subjects!$A$2:$A$82,A176)=0,"Subject not in register",IF(D176&lt;INDEX(Subjects!$C$2:$C$82,MATCH(A176,Subjects!$A$2:$A$82,0)),"Visit before enrollment",IF(H176="Missed","Missed visit",IF(H176="Scheduled","OK",IF(E176="","Missing weight",IF(OR(E176&lt;'Check Rules'!$B$5,E176&gt;'Check Rules'!$B$6),"Weight out of range",IF(OR(F176&lt;'Check Rules'!$B$7,F176&gt;'Check Rules'!$B$8),"Systolic BP out of range",IF(OR(G176&lt;'Check Rules'!$B$9,G176&gt;'Check Rules'!$B$10),"Diastolic BP out of range",IF(G176&gt;=F176,"Diastolic &gt;= systolic","OK")))))))))</f>
        <v>OK</v>
      </c>
    </row>
    <row r="177" spans="1:9" x14ac:dyDescent="0.25">
      <c r="A177" s="10" t="s">
        <v>153</v>
      </c>
      <c r="B177" s="10" t="s">
        <v>74</v>
      </c>
      <c r="C177" s="10" t="s">
        <v>194</v>
      </c>
      <c r="D177" s="19">
        <v>46096</v>
      </c>
      <c r="E177" s="10">
        <v>70.099999999999994</v>
      </c>
      <c r="F177" s="10">
        <v>137</v>
      </c>
      <c r="G177" s="10">
        <v>78</v>
      </c>
      <c r="H177" s="10" t="s">
        <v>191</v>
      </c>
      <c r="I177" s="10" t="str">
        <f>IF(COUNTIF(Subjects!$A$2:$A$82,A177)=0,"Subject not in register",IF(D177&lt;INDEX(Subjects!$C$2:$C$82,MATCH(A177,Subjects!$A$2:$A$82,0)),"Visit before enrollment",IF(H177="Missed","Missed visit",IF(H177="Scheduled","OK",IF(E177="","Missing weight",IF(OR(E177&lt;'Check Rules'!$B$5,E177&gt;'Check Rules'!$B$6),"Weight out of range",IF(OR(F177&lt;'Check Rules'!$B$7,F177&gt;'Check Rules'!$B$8),"Systolic BP out of range",IF(OR(G177&lt;'Check Rules'!$B$9,G177&gt;'Check Rules'!$B$10),"Diastolic BP out of range",IF(G177&gt;=F177,"Diastolic &gt;= systolic","OK")))))))))</f>
        <v>OK</v>
      </c>
    </row>
    <row r="178" spans="1:9" x14ac:dyDescent="0.25">
      <c r="A178" s="10" t="s">
        <v>154</v>
      </c>
      <c r="B178" s="10" t="s">
        <v>74</v>
      </c>
      <c r="C178" s="10" t="s">
        <v>190</v>
      </c>
      <c r="D178" s="19">
        <v>46063</v>
      </c>
      <c r="E178" s="10">
        <v>65.5</v>
      </c>
      <c r="F178" s="10">
        <v>116</v>
      </c>
      <c r="G178" s="10">
        <v>75</v>
      </c>
      <c r="H178" s="10" t="s">
        <v>191</v>
      </c>
      <c r="I178" s="10" t="str">
        <f>IF(COUNTIF(Subjects!$A$2:$A$82,A178)=0,"Subject not in register",IF(D178&lt;INDEX(Subjects!$C$2:$C$82,MATCH(A178,Subjects!$A$2:$A$82,0)),"Visit before enrollment",IF(H178="Missed","Missed visit",IF(H178="Scheduled","OK",IF(E178="","Missing weight",IF(OR(E178&lt;'Check Rules'!$B$5,E178&gt;'Check Rules'!$B$6),"Weight out of range",IF(OR(F178&lt;'Check Rules'!$B$7,F178&gt;'Check Rules'!$B$8),"Systolic BP out of range",IF(OR(G178&lt;'Check Rules'!$B$9,G178&gt;'Check Rules'!$B$10),"Diastolic BP out of range",IF(G178&gt;=F178,"Diastolic &gt;= systolic","OK")))))))))</f>
        <v>OK</v>
      </c>
    </row>
    <row r="179" spans="1:9" x14ac:dyDescent="0.25">
      <c r="A179" s="10" t="s">
        <v>154</v>
      </c>
      <c r="B179" s="10" t="s">
        <v>74</v>
      </c>
      <c r="C179" s="10" t="s">
        <v>192</v>
      </c>
      <c r="D179" s="19">
        <v>46065</v>
      </c>
      <c r="E179" s="10">
        <v>64.099999999999994</v>
      </c>
      <c r="F179" s="10">
        <v>122</v>
      </c>
      <c r="G179" s="10">
        <v>75</v>
      </c>
      <c r="H179" s="10" t="s">
        <v>191</v>
      </c>
      <c r="I179" s="10" t="str">
        <f>IF(COUNTIF(Subjects!$A$2:$A$82,A179)=0,"Subject not in register",IF(D179&lt;INDEX(Subjects!$C$2:$C$82,MATCH(A179,Subjects!$A$2:$A$82,0)),"Visit before enrollment",IF(H179="Missed","Missed visit",IF(H179="Scheduled","OK",IF(E179="","Missing weight",IF(OR(E179&lt;'Check Rules'!$B$5,E179&gt;'Check Rules'!$B$6),"Weight out of range",IF(OR(F179&lt;'Check Rules'!$B$7,F179&gt;'Check Rules'!$B$8),"Systolic BP out of range",IF(OR(G179&lt;'Check Rules'!$B$9,G179&gt;'Check Rules'!$B$10),"Diastolic BP out of range",IF(G179&gt;=F179,"Diastolic &gt;= systolic","OK")))))))))</f>
        <v>OK</v>
      </c>
    </row>
    <row r="180" spans="1:9" x14ac:dyDescent="0.25">
      <c r="A180" s="10" t="s">
        <v>154</v>
      </c>
      <c r="B180" s="10" t="s">
        <v>74</v>
      </c>
      <c r="C180" s="10" t="s">
        <v>193</v>
      </c>
      <c r="D180" s="19">
        <v>46093</v>
      </c>
      <c r="E180" s="10"/>
      <c r="F180" s="10"/>
      <c r="G180" s="10"/>
      <c r="H180" s="10" t="s">
        <v>197</v>
      </c>
      <c r="I180" s="10" t="str">
        <f>IF(COUNTIF(Subjects!$A$2:$A$82,A180)=0,"Subject not in register",IF(D180&lt;INDEX(Subjects!$C$2:$C$82,MATCH(A180,Subjects!$A$2:$A$82,0)),"Visit before enrollment",IF(H180="Missed","Missed visit",IF(H180="Scheduled","OK",IF(E180="","Missing weight",IF(OR(E180&lt;'Check Rules'!$B$5,E180&gt;'Check Rules'!$B$6),"Weight out of range",IF(OR(F180&lt;'Check Rules'!$B$7,F180&gt;'Check Rules'!$B$8),"Systolic BP out of range",IF(OR(G180&lt;'Check Rules'!$B$9,G180&gt;'Check Rules'!$B$10),"Diastolic BP out of range",IF(G180&gt;=F180,"Diastolic &gt;= systolic","OK")))))))))</f>
        <v>Missed visit</v>
      </c>
    </row>
    <row r="181" spans="1:9" x14ac:dyDescent="0.25">
      <c r="A181" s="10" t="s">
        <v>155</v>
      </c>
      <c r="B181" s="10" t="s">
        <v>78</v>
      </c>
      <c r="C181" s="10" t="s">
        <v>190</v>
      </c>
      <c r="D181" s="19">
        <v>46063</v>
      </c>
      <c r="E181" s="10">
        <v>72.2</v>
      </c>
      <c r="F181" s="10">
        <v>127</v>
      </c>
      <c r="G181" s="10">
        <v>79</v>
      </c>
      <c r="H181" s="10" t="s">
        <v>191</v>
      </c>
      <c r="I181" s="10" t="str">
        <f>IF(COUNTIF(Subjects!$A$2:$A$82,A181)=0,"Subject not in register",IF(D181&lt;INDEX(Subjects!$C$2:$C$82,MATCH(A181,Subjects!$A$2:$A$82,0)),"Visit before enrollment",IF(H181="Missed","Missed visit",IF(H181="Scheduled","OK",IF(E181="","Missing weight",IF(OR(E181&lt;'Check Rules'!$B$5,E181&gt;'Check Rules'!$B$6),"Weight out of range",IF(OR(F181&lt;'Check Rules'!$B$7,F181&gt;'Check Rules'!$B$8),"Systolic BP out of range",IF(OR(G181&lt;'Check Rules'!$B$9,G181&gt;'Check Rules'!$B$10),"Diastolic BP out of range",IF(G181&gt;=F181,"Diastolic &gt;= systolic","OK")))))))))</f>
        <v>OK</v>
      </c>
    </row>
    <row r="182" spans="1:9" x14ac:dyDescent="0.25">
      <c r="A182" s="10" t="s">
        <v>155</v>
      </c>
      <c r="B182" s="10" t="s">
        <v>78</v>
      </c>
      <c r="C182" s="10" t="s">
        <v>192</v>
      </c>
      <c r="D182" s="19">
        <v>46065</v>
      </c>
      <c r="E182" s="10">
        <v>72.2</v>
      </c>
      <c r="F182" s="10">
        <v>131</v>
      </c>
      <c r="G182" s="10">
        <v>75</v>
      </c>
      <c r="H182" s="10" t="s">
        <v>191</v>
      </c>
      <c r="I182" s="10" t="str">
        <f>IF(COUNTIF(Subjects!$A$2:$A$82,A182)=0,"Subject not in register",IF(D182&lt;INDEX(Subjects!$C$2:$C$82,MATCH(A182,Subjects!$A$2:$A$82,0)),"Visit before enrollment",IF(H182="Missed","Missed visit",IF(H182="Scheduled","OK",IF(E182="","Missing weight",IF(OR(E182&lt;'Check Rules'!$B$5,E182&gt;'Check Rules'!$B$6),"Weight out of range",IF(OR(F182&lt;'Check Rules'!$B$7,F182&gt;'Check Rules'!$B$8),"Systolic BP out of range",IF(OR(G182&lt;'Check Rules'!$B$9,G182&gt;'Check Rules'!$B$10),"Diastolic BP out of range",IF(G182&gt;=F182,"Diastolic &gt;= systolic","OK")))))))))</f>
        <v>OK</v>
      </c>
    </row>
    <row r="183" spans="1:9" x14ac:dyDescent="0.25">
      <c r="A183" s="10" t="s">
        <v>155</v>
      </c>
      <c r="B183" s="10" t="s">
        <v>78</v>
      </c>
      <c r="C183" s="10" t="s">
        <v>193</v>
      </c>
      <c r="D183" s="19">
        <v>46093</v>
      </c>
      <c r="E183" s="10">
        <v>70.5</v>
      </c>
      <c r="F183" s="10">
        <v>119</v>
      </c>
      <c r="G183" s="10">
        <v>84</v>
      </c>
      <c r="H183" s="10" t="s">
        <v>191</v>
      </c>
      <c r="I183" s="10" t="str">
        <f>IF(COUNTIF(Subjects!$A$2:$A$82,A183)=0,"Subject not in register",IF(D183&lt;INDEX(Subjects!$C$2:$C$82,MATCH(A183,Subjects!$A$2:$A$82,0)),"Visit before enrollment",IF(H183="Missed","Missed visit",IF(H183="Scheduled","OK",IF(E183="","Missing weight",IF(OR(E183&lt;'Check Rules'!$B$5,E183&gt;'Check Rules'!$B$6),"Weight out of range",IF(OR(F183&lt;'Check Rules'!$B$7,F183&gt;'Check Rules'!$B$8),"Systolic BP out of range",IF(OR(G183&lt;'Check Rules'!$B$9,G183&gt;'Check Rules'!$B$10),"Diastolic BP out of range",IF(G183&gt;=F183,"Diastolic &gt;= systolic","OK")))))))))</f>
        <v>OK</v>
      </c>
    </row>
    <row r="184" spans="1:9" x14ac:dyDescent="0.25">
      <c r="A184" s="10" t="s">
        <v>155</v>
      </c>
      <c r="B184" s="10" t="s">
        <v>78</v>
      </c>
      <c r="C184" s="10" t="s">
        <v>194</v>
      </c>
      <c r="D184" s="19">
        <v>46121</v>
      </c>
      <c r="E184" s="10">
        <v>72.599999999999994</v>
      </c>
      <c r="F184" s="10">
        <v>118</v>
      </c>
      <c r="G184" s="10">
        <v>76</v>
      </c>
      <c r="H184" s="10" t="s">
        <v>191</v>
      </c>
      <c r="I184" s="10" t="str">
        <f>IF(COUNTIF(Subjects!$A$2:$A$82,A184)=0,"Subject not in register",IF(D184&lt;INDEX(Subjects!$C$2:$C$82,MATCH(A184,Subjects!$A$2:$A$82,0)),"Visit before enrollment",IF(H184="Missed","Missed visit",IF(H184="Scheduled","OK",IF(E184="","Missing weight",IF(OR(E184&lt;'Check Rules'!$B$5,E184&gt;'Check Rules'!$B$6),"Weight out of range",IF(OR(F184&lt;'Check Rules'!$B$7,F184&gt;'Check Rules'!$B$8),"Systolic BP out of range",IF(OR(G184&lt;'Check Rules'!$B$9,G184&gt;'Check Rules'!$B$10),"Diastolic BP out of range",IF(G184&gt;=F184,"Diastolic &gt;= systolic","OK")))))))))</f>
        <v>OK</v>
      </c>
    </row>
    <row r="185" spans="1:9" x14ac:dyDescent="0.25">
      <c r="A185" s="10" t="s">
        <v>155</v>
      </c>
      <c r="B185" s="10" t="s">
        <v>78</v>
      </c>
      <c r="C185" s="10" t="s">
        <v>195</v>
      </c>
      <c r="D185" s="19">
        <v>46149</v>
      </c>
      <c r="E185" s="10"/>
      <c r="F185" s="10"/>
      <c r="G185" s="10"/>
      <c r="H185" s="10" t="s">
        <v>196</v>
      </c>
      <c r="I185" s="10" t="str">
        <f>IF(COUNTIF(Subjects!$A$2:$A$82,A185)=0,"Subject not in register",IF(D185&lt;INDEX(Subjects!$C$2:$C$82,MATCH(A185,Subjects!$A$2:$A$82,0)),"Visit before enrollment",IF(H185="Missed","Missed visit",IF(H185="Scheduled","OK",IF(E185="","Missing weight",IF(OR(E185&lt;'Check Rules'!$B$5,E185&gt;'Check Rules'!$B$6),"Weight out of range",IF(OR(F185&lt;'Check Rules'!$B$7,F185&gt;'Check Rules'!$B$8),"Systolic BP out of range",IF(OR(G185&lt;'Check Rules'!$B$9,G185&gt;'Check Rules'!$B$10),"Diastolic BP out of range",IF(G185&gt;=F185,"Diastolic &gt;= systolic","OK")))))))))</f>
        <v>OK</v>
      </c>
    </row>
    <row r="186" spans="1:9" x14ac:dyDescent="0.25">
      <c r="A186" s="10" t="s">
        <v>156</v>
      </c>
      <c r="B186" s="10" t="s">
        <v>76</v>
      </c>
      <c r="C186" s="10" t="s">
        <v>190</v>
      </c>
      <c r="D186" s="19">
        <v>46042</v>
      </c>
      <c r="E186" s="10">
        <v>54.2</v>
      </c>
      <c r="F186" s="10">
        <v>121</v>
      </c>
      <c r="G186" s="10">
        <v>96</v>
      </c>
      <c r="H186" s="10" t="s">
        <v>191</v>
      </c>
      <c r="I186" s="10" t="str">
        <f>IF(COUNTIF(Subjects!$A$2:$A$82,A186)=0,"Subject not in register",IF(D186&lt;INDEX(Subjects!$C$2:$C$82,MATCH(A186,Subjects!$A$2:$A$82,0)),"Visit before enrollment",IF(H186="Missed","Missed visit",IF(H186="Scheduled","OK",IF(E186="","Missing weight",IF(OR(E186&lt;'Check Rules'!$B$5,E186&gt;'Check Rules'!$B$6),"Weight out of range",IF(OR(F186&lt;'Check Rules'!$B$7,F186&gt;'Check Rules'!$B$8),"Systolic BP out of range",IF(OR(G186&lt;'Check Rules'!$B$9,G186&gt;'Check Rules'!$B$10),"Diastolic BP out of range",IF(G186&gt;=F186,"Diastolic &gt;= systolic","OK")))))))))</f>
        <v>OK</v>
      </c>
    </row>
    <row r="187" spans="1:9" x14ac:dyDescent="0.25">
      <c r="A187" s="10" t="s">
        <v>156</v>
      </c>
      <c r="B187" s="10" t="s">
        <v>76</v>
      </c>
      <c r="C187" s="10" t="s">
        <v>192</v>
      </c>
      <c r="D187" s="19">
        <v>46044</v>
      </c>
      <c r="E187" s="10">
        <v>54.9</v>
      </c>
      <c r="F187" s="10">
        <v>122</v>
      </c>
      <c r="G187" s="10">
        <v>90</v>
      </c>
      <c r="H187" s="10" t="s">
        <v>191</v>
      </c>
      <c r="I187" s="10" t="str">
        <f>IF(COUNTIF(Subjects!$A$2:$A$82,A187)=0,"Subject not in register",IF(D187&lt;INDEX(Subjects!$C$2:$C$82,MATCH(A187,Subjects!$A$2:$A$82,0)),"Visit before enrollment",IF(H187="Missed","Missed visit",IF(H187="Scheduled","OK",IF(E187="","Missing weight",IF(OR(E187&lt;'Check Rules'!$B$5,E187&gt;'Check Rules'!$B$6),"Weight out of range",IF(OR(F187&lt;'Check Rules'!$B$7,F187&gt;'Check Rules'!$B$8),"Systolic BP out of range",IF(OR(G187&lt;'Check Rules'!$B$9,G187&gt;'Check Rules'!$B$10),"Diastolic BP out of range",IF(G187&gt;=F187,"Diastolic &gt;= systolic","OK")))))))))</f>
        <v>OK</v>
      </c>
    </row>
    <row r="188" spans="1:9" x14ac:dyDescent="0.25">
      <c r="A188" s="10" t="s">
        <v>156</v>
      </c>
      <c r="B188" s="10" t="s">
        <v>76</v>
      </c>
      <c r="C188" s="10" t="s">
        <v>193</v>
      </c>
      <c r="D188" s="19">
        <v>46072</v>
      </c>
      <c r="E188" s="10">
        <v>53.8</v>
      </c>
      <c r="F188" s="10">
        <v>120</v>
      </c>
      <c r="G188" s="10">
        <v>88</v>
      </c>
      <c r="H188" s="10" t="s">
        <v>191</v>
      </c>
      <c r="I188" s="10" t="str">
        <f>IF(COUNTIF(Subjects!$A$2:$A$82,A188)=0,"Subject not in register",IF(D188&lt;INDEX(Subjects!$C$2:$C$82,MATCH(A188,Subjects!$A$2:$A$82,0)),"Visit before enrollment",IF(H188="Missed","Missed visit",IF(H188="Scheduled","OK",IF(E188="","Missing weight",IF(OR(E188&lt;'Check Rules'!$B$5,E188&gt;'Check Rules'!$B$6),"Weight out of range",IF(OR(F188&lt;'Check Rules'!$B$7,F188&gt;'Check Rules'!$B$8),"Systolic BP out of range",IF(OR(G188&lt;'Check Rules'!$B$9,G188&gt;'Check Rules'!$B$10),"Diastolic BP out of range",IF(G188&gt;=F188,"Diastolic &gt;= systolic","OK")))))))))</f>
        <v>OK</v>
      </c>
    </row>
    <row r="189" spans="1:9" x14ac:dyDescent="0.25">
      <c r="A189" s="10" t="s">
        <v>157</v>
      </c>
      <c r="B189" s="10" t="s">
        <v>76</v>
      </c>
      <c r="C189" s="10" t="s">
        <v>190</v>
      </c>
      <c r="D189" s="19">
        <v>46056</v>
      </c>
      <c r="E189" s="10">
        <v>63.4</v>
      </c>
      <c r="F189" s="10">
        <v>112</v>
      </c>
      <c r="G189" s="10">
        <v>76</v>
      </c>
      <c r="H189" s="10" t="s">
        <v>191</v>
      </c>
      <c r="I189" s="10" t="str">
        <f>IF(COUNTIF(Subjects!$A$2:$A$82,A189)=0,"Subject not in register",IF(D189&lt;INDEX(Subjects!$C$2:$C$82,MATCH(A189,Subjects!$A$2:$A$82,0)),"Visit before enrollment",IF(H189="Missed","Missed visit",IF(H189="Scheduled","OK",IF(E189="","Missing weight",IF(OR(E189&lt;'Check Rules'!$B$5,E189&gt;'Check Rules'!$B$6),"Weight out of range",IF(OR(F189&lt;'Check Rules'!$B$7,F189&gt;'Check Rules'!$B$8),"Systolic BP out of range",IF(OR(G189&lt;'Check Rules'!$B$9,G189&gt;'Check Rules'!$B$10),"Diastolic BP out of range",IF(G189&gt;=F189,"Diastolic &gt;= systolic","OK")))))))))</f>
        <v>OK</v>
      </c>
    </row>
    <row r="190" spans="1:9" x14ac:dyDescent="0.25">
      <c r="A190" s="10" t="s">
        <v>157</v>
      </c>
      <c r="B190" s="10" t="s">
        <v>76</v>
      </c>
      <c r="C190" s="10" t="s">
        <v>192</v>
      </c>
      <c r="D190" s="19">
        <v>46058</v>
      </c>
      <c r="E190" s="10">
        <v>65.2</v>
      </c>
      <c r="F190" s="10">
        <v>117</v>
      </c>
      <c r="G190" s="10">
        <v>84</v>
      </c>
      <c r="H190" s="10" t="s">
        <v>191</v>
      </c>
      <c r="I190" s="10" t="str">
        <f>IF(COUNTIF(Subjects!$A$2:$A$82,A190)=0,"Subject not in register",IF(D190&lt;INDEX(Subjects!$C$2:$C$82,MATCH(A190,Subjects!$A$2:$A$82,0)),"Visit before enrollment",IF(H190="Missed","Missed visit",IF(H190="Scheduled","OK",IF(E190="","Missing weight",IF(OR(E190&lt;'Check Rules'!$B$5,E190&gt;'Check Rules'!$B$6),"Weight out of range",IF(OR(F190&lt;'Check Rules'!$B$7,F190&gt;'Check Rules'!$B$8),"Systolic BP out of range",IF(OR(G190&lt;'Check Rules'!$B$9,G190&gt;'Check Rules'!$B$10),"Diastolic BP out of range",IF(G190&gt;=F190,"Diastolic &gt;= systolic","OK")))))))))</f>
        <v>OK</v>
      </c>
    </row>
    <row r="191" spans="1:9" x14ac:dyDescent="0.25">
      <c r="A191" s="10" t="s">
        <v>157</v>
      </c>
      <c r="B191" s="10" t="s">
        <v>76</v>
      </c>
      <c r="C191" s="10" t="s">
        <v>193</v>
      </c>
      <c r="D191" s="19">
        <v>46086</v>
      </c>
      <c r="E191" s="10">
        <v>63.3</v>
      </c>
      <c r="F191" s="10">
        <v>113</v>
      </c>
      <c r="G191" s="10">
        <v>76</v>
      </c>
      <c r="H191" s="10" t="s">
        <v>191</v>
      </c>
      <c r="I191" s="10" t="str">
        <f>IF(COUNTIF(Subjects!$A$2:$A$82,A191)=0,"Subject not in register",IF(D191&lt;INDEX(Subjects!$C$2:$C$82,MATCH(A191,Subjects!$A$2:$A$82,0)),"Visit before enrollment",IF(H191="Missed","Missed visit",IF(H191="Scheduled","OK",IF(E191="","Missing weight",IF(OR(E191&lt;'Check Rules'!$B$5,E191&gt;'Check Rules'!$B$6),"Weight out of range",IF(OR(F191&lt;'Check Rules'!$B$7,F191&gt;'Check Rules'!$B$8),"Systolic BP out of range",IF(OR(G191&lt;'Check Rules'!$B$9,G191&gt;'Check Rules'!$B$10),"Diastolic BP out of range",IF(G191&gt;=F191,"Diastolic &gt;= systolic","OK")))))))))</f>
        <v>OK</v>
      </c>
    </row>
    <row r="192" spans="1:9" x14ac:dyDescent="0.25">
      <c r="A192" s="10" t="s">
        <v>158</v>
      </c>
      <c r="B192" s="10" t="s">
        <v>78</v>
      </c>
      <c r="C192" s="10" t="s">
        <v>190</v>
      </c>
      <c r="D192" s="19">
        <v>46063</v>
      </c>
      <c r="E192" s="10">
        <v>89.2</v>
      </c>
      <c r="F192" s="10">
        <v>104</v>
      </c>
      <c r="G192" s="10">
        <v>74</v>
      </c>
      <c r="H192" s="10" t="s">
        <v>191</v>
      </c>
      <c r="I192" s="10" t="str">
        <f>IF(COUNTIF(Subjects!$A$2:$A$82,A192)=0,"Subject not in register",IF(D192&lt;INDEX(Subjects!$C$2:$C$82,MATCH(A192,Subjects!$A$2:$A$82,0)),"Visit before enrollment",IF(H192="Missed","Missed visit",IF(H192="Scheduled","OK",IF(E192="","Missing weight",IF(OR(E192&lt;'Check Rules'!$B$5,E192&gt;'Check Rules'!$B$6),"Weight out of range",IF(OR(F192&lt;'Check Rules'!$B$7,F192&gt;'Check Rules'!$B$8),"Systolic BP out of range",IF(OR(G192&lt;'Check Rules'!$B$9,G192&gt;'Check Rules'!$B$10),"Diastolic BP out of range",IF(G192&gt;=F192,"Diastolic &gt;= systolic","OK")))))))))</f>
        <v>OK</v>
      </c>
    </row>
    <row r="193" spans="1:9" x14ac:dyDescent="0.25">
      <c r="A193" s="10" t="s">
        <v>158</v>
      </c>
      <c r="B193" s="10" t="s">
        <v>78</v>
      </c>
      <c r="C193" s="10" t="s">
        <v>192</v>
      </c>
      <c r="D193" s="19">
        <v>46065</v>
      </c>
      <c r="E193" s="10">
        <v>89.4</v>
      </c>
      <c r="F193" s="10">
        <v>106</v>
      </c>
      <c r="G193" s="10">
        <v>71</v>
      </c>
      <c r="H193" s="10" t="s">
        <v>191</v>
      </c>
      <c r="I193" s="10" t="str">
        <f>IF(COUNTIF(Subjects!$A$2:$A$82,A193)=0,"Subject not in register",IF(D193&lt;INDEX(Subjects!$C$2:$C$82,MATCH(A193,Subjects!$A$2:$A$82,0)),"Visit before enrollment",IF(H193="Missed","Missed visit",IF(H193="Scheduled","OK",IF(E193="","Missing weight",IF(OR(E193&lt;'Check Rules'!$B$5,E193&gt;'Check Rules'!$B$6),"Weight out of range",IF(OR(F193&lt;'Check Rules'!$B$7,F193&gt;'Check Rules'!$B$8),"Systolic BP out of range",IF(OR(G193&lt;'Check Rules'!$B$9,G193&gt;'Check Rules'!$B$10),"Diastolic BP out of range",IF(G193&gt;=F193,"Diastolic &gt;= systolic","OK")))))))))</f>
        <v>OK</v>
      </c>
    </row>
    <row r="194" spans="1:9" x14ac:dyDescent="0.25">
      <c r="A194" s="10" t="s">
        <v>158</v>
      </c>
      <c r="B194" s="10" t="s">
        <v>78</v>
      </c>
      <c r="C194" s="10" t="s">
        <v>193</v>
      </c>
      <c r="D194" s="19">
        <v>46093</v>
      </c>
      <c r="E194" s="10">
        <v>89</v>
      </c>
      <c r="F194" s="10">
        <v>109</v>
      </c>
      <c r="G194" s="10">
        <v>80</v>
      </c>
      <c r="H194" s="10" t="s">
        <v>191</v>
      </c>
      <c r="I194" s="10" t="str">
        <f>IF(COUNTIF(Subjects!$A$2:$A$82,A194)=0,"Subject not in register",IF(D194&lt;INDEX(Subjects!$C$2:$C$82,MATCH(A194,Subjects!$A$2:$A$82,0)),"Visit before enrollment",IF(H194="Missed","Missed visit",IF(H194="Scheduled","OK",IF(E194="","Missing weight",IF(OR(E194&lt;'Check Rules'!$B$5,E194&gt;'Check Rules'!$B$6),"Weight out of range",IF(OR(F194&lt;'Check Rules'!$B$7,F194&gt;'Check Rules'!$B$8),"Systolic BP out of range",IF(OR(G194&lt;'Check Rules'!$B$9,G194&gt;'Check Rules'!$B$10),"Diastolic BP out of range",IF(G194&gt;=F194,"Diastolic &gt;= systolic","OK")))))))))</f>
        <v>OK</v>
      </c>
    </row>
    <row r="195" spans="1:9" x14ac:dyDescent="0.25">
      <c r="A195" s="10" t="s">
        <v>159</v>
      </c>
      <c r="B195" s="10" t="s">
        <v>76</v>
      </c>
      <c r="C195" s="10" t="s">
        <v>190</v>
      </c>
      <c r="D195" s="19">
        <v>46035</v>
      </c>
      <c r="E195" s="10">
        <v>65.400000000000006</v>
      </c>
      <c r="F195" s="10">
        <v>110</v>
      </c>
      <c r="G195" s="10">
        <v>85</v>
      </c>
      <c r="H195" s="10" t="s">
        <v>191</v>
      </c>
      <c r="I195" s="10" t="str">
        <f>IF(COUNTIF(Subjects!$A$2:$A$82,A195)=0,"Subject not in register",IF(D195&lt;INDEX(Subjects!$C$2:$C$82,MATCH(A195,Subjects!$A$2:$A$82,0)),"Visit before enrollment",IF(H195="Missed","Missed visit",IF(H195="Scheduled","OK",IF(E195="","Missing weight",IF(OR(E195&lt;'Check Rules'!$B$5,E195&gt;'Check Rules'!$B$6),"Weight out of range",IF(OR(F195&lt;'Check Rules'!$B$7,F195&gt;'Check Rules'!$B$8),"Systolic BP out of range",IF(OR(G195&lt;'Check Rules'!$B$9,G195&gt;'Check Rules'!$B$10),"Diastolic BP out of range",IF(G195&gt;=F195,"Diastolic &gt;= systolic","OK")))))))))</f>
        <v>OK</v>
      </c>
    </row>
    <row r="196" spans="1:9" x14ac:dyDescent="0.25">
      <c r="A196" s="10" t="s">
        <v>159</v>
      </c>
      <c r="B196" s="10" t="s">
        <v>76</v>
      </c>
      <c r="C196" s="10" t="s">
        <v>192</v>
      </c>
      <c r="D196" s="19">
        <v>46037</v>
      </c>
      <c r="E196" s="10">
        <v>64.7</v>
      </c>
      <c r="F196" s="10">
        <v>109</v>
      </c>
      <c r="G196" s="10">
        <v>84</v>
      </c>
      <c r="H196" s="10" t="s">
        <v>191</v>
      </c>
      <c r="I196" s="10" t="str">
        <f>IF(COUNTIF(Subjects!$A$2:$A$82,A196)=0,"Subject not in register",IF(D196&lt;INDEX(Subjects!$C$2:$C$82,MATCH(A196,Subjects!$A$2:$A$82,0)),"Visit before enrollment",IF(H196="Missed","Missed visit",IF(H196="Scheduled","OK",IF(E196="","Missing weight",IF(OR(E196&lt;'Check Rules'!$B$5,E196&gt;'Check Rules'!$B$6),"Weight out of range",IF(OR(F196&lt;'Check Rules'!$B$7,F196&gt;'Check Rules'!$B$8),"Systolic BP out of range",IF(OR(G196&lt;'Check Rules'!$B$9,G196&gt;'Check Rules'!$B$10),"Diastolic BP out of range",IF(G196&gt;=F196,"Diastolic &gt;= systolic","OK")))))))))</f>
        <v>OK</v>
      </c>
    </row>
    <row r="197" spans="1:9" x14ac:dyDescent="0.25">
      <c r="A197" s="10" t="s">
        <v>159</v>
      </c>
      <c r="B197" s="10" t="s">
        <v>76</v>
      </c>
      <c r="C197" s="10" t="s">
        <v>193</v>
      </c>
      <c r="D197" s="19">
        <v>46065</v>
      </c>
      <c r="E197" s="10">
        <v>64.2</v>
      </c>
      <c r="F197" s="10">
        <v>98</v>
      </c>
      <c r="G197" s="10">
        <v>73</v>
      </c>
      <c r="H197" s="10" t="s">
        <v>191</v>
      </c>
      <c r="I197" s="10" t="str">
        <f>IF(COUNTIF(Subjects!$A$2:$A$82,A197)=0,"Subject not in register",IF(D197&lt;INDEX(Subjects!$C$2:$C$82,MATCH(A197,Subjects!$A$2:$A$82,0)),"Visit before enrollment",IF(H197="Missed","Missed visit",IF(H197="Scheduled","OK",IF(E197="","Missing weight",IF(OR(E197&lt;'Check Rules'!$B$5,E197&gt;'Check Rules'!$B$6),"Weight out of range",IF(OR(F197&lt;'Check Rules'!$B$7,F197&gt;'Check Rules'!$B$8),"Systolic BP out of range",IF(OR(G197&lt;'Check Rules'!$B$9,G197&gt;'Check Rules'!$B$10),"Diastolic BP out of range",IF(G197&gt;=F197,"Diastolic &gt;= systolic","OK")))))))))</f>
        <v>OK</v>
      </c>
    </row>
    <row r="198" spans="1:9" x14ac:dyDescent="0.25">
      <c r="A198" s="10" t="s">
        <v>159</v>
      </c>
      <c r="B198" s="10" t="s">
        <v>76</v>
      </c>
      <c r="C198" s="10" t="s">
        <v>194</v>
      </c>
      <c r="D198" s="19">
        <v>46093</v>
      </c>
      <c r="E198" s="10">
        <v>65.7</v>
      </c>
      <c r="F198" s="10">
        <v>108</v>
      </c>
      <c r="G198" s="10">
        <v>80</v>
      </c>
      <c r="H198" s="10" t="s">
        <v>191</v>
      </c>
      <c r="I198" s="10" t="str">
        <f>IF(COUNTIF(Subjects!$A$2:$A$82,A198)=0,"Subject not in register",IF(D198&lt;INDEX(Subjects!$C$2:$C$82,MATCH(A198,Subjects!$A$2:$A$82,0)),"Visit before enrollment",IF(H198="Missed","Missed visit",IF(H198="Scheduled","OK",IF(E198="","Missing weight",IF(OR(E198&lt;'Check Rules'!$B$5,E198&gt;'Check Rules'!$B$6),"Weight out of range",IF(OR(F198&lt;'Check Rules'!$B$7,F198&gt;'Check Rules'!$B$8),"Systolic BP out of range",IF(OR(G198&lt;'Check Rules'!$B$9,G198&gt;'Check Rules'!$B$10),"Diastolic BP out of range",IF(G198&gt;=F198,"Diastolic &gt;= systolic","OK")))))))))</f>
        <v>OK</v>
      </c>
    </row>
    <row r="199" spans="1:9" x14ac:dyDescent="0.25">
      <c r="A199" s="10" t="s">
        <v>159</v>
      </c>
      <c r="B199" s="10" t="s">
        <v>76</v>
      </c>
      <c r="C199" s="10" t="s">
        <v>195</v>
      </c>
      <c r="D199" s="19">
        <v>46121</v>
      </c>
      <c r="E199" s="10">
        <v>63</v>
      </c>
      <c r="F199" s="10">
        <v>107</v>
      </c>
      <c r="G199" s="10">
        <v>80</v>
      </c>
      <c r="H199" s="10" t="s">
        <v>191</v>
      </c>
      <c r="I199" s="10" t="str">
        <f>IF(COUNTIF(Subjects!$A$2:$A$82,A199)=0,"Subject not in register",IF(D199&lt;INDEX(Subjects!$C$2:$C$82,MATCH(A199,Subjects!$A$2:$A$82,0)),"Visit before enrollment",IF(H199="Missed","Missed visit",IF(H199="Scheduled","OK",IF(E199="","Missing weight",IF(OR(E199&lt;'Check Rules'!$B$5,E199&gt;'Check Rules'!$B$6),"Weight out of range",IF(OR(F199&lt;'Check Rules'!$B$7,F199&gt;'Check Rules'!$B$8),"Systolic BP out of range",IF(OR(G199&lt;'Check Rules'!$B$9,G199&gt;'Check Rules'!$B$10),"Diastolic BP out of range",IF(G199&gt;=F199,"Diastolic &gt;= systolic","OK")))))))))</f>
        <v>OK</v>
      </c>
    </row>
    <row r="200" spans="1:9" x14ac:dyDescent="0.25">
      <c r="A200" s="10" t="s">
        <v>160</v>
      </c>
      <c r="B200" s="10" t="s">
        <v>76</v>
      </c>
      <c r="C200" s="10" t="s">
        <v>190</v>
      </c>
      <c r="D200" s="19">
        <v>46045</v>
      </c>
      <c r="E200" s="10">
        <v>71.099999999999994</v>
      </c>
      <c r="F200" s="10">
        <v>125</v>
      </c>
      <c r="G200" s="10">
        <v>74</v>
      </c>
      <c r="H200" s="10" t="s">
        <v>191</v>
      </c>
      <c r="I200" s="10" t="str">
        <f>IF(COUNTIF(Subjects!$A$2:$A$82,A200)=0,"Subject not in register",IF(D200&lt;INDEX(Subjects!$C$2:$C$82,MATCH(A200,Subjects!$A$2:$A$82,0)),"Visit before enrollment",IF(H200="Missed","Missed visit",IF(H200="Scheduled","OK",IF(E200="","Missing weight",IF(OR(E200&lt;'Check Rules'!$B$5,E200&gt;'Check Rules'!$B$6),"Weight out of range",IF(OR(F200&lt;'Check Rules'!$B$7,F200&gt;'Check Rules'!$B$8),"Systolic BP out of range",IF(OR(G200&lt;'Check Rules'!$B$9,G200&gt;'Check Rules'!$B$10),"Diastolic BP out of range",IF(G200&gt;=F200,"Diastolic &gt;= systolic","OK")))))))))</f>
        <v>OK</v>
      </c>
    </row>
    <row r="201" spans="1:9" x14ac:dyDescent="0.25">
      <c r="A201" s="10" t="s">
        <v>160</v>
      </c>
      <c r="B201" s="10" t="s">
        <v>76</v>
      </c>
      <c r="C201" s="10" t="s">
        <v>192</v>
      </c>
      <c r="D201" s="19">
        <v>46047</v>
      </c>
      <c r="E201" s="10">
        <v>72.2</v>
      </c>
      <c r="F201" s="10">
        <v>127</v>
      </c>
      <c r="G201" s="10">
        <v>72</v>
      </c>
      <c r="H201" s="10" t="s">
        <v>191</v>
      </c>
      <c r="I201" s="10" t="str">
        <f>IF(COUNTIF(Subjects!$A$2:$A$82,A201)=0,"Subject not in register",IF(D201&lt;INDEX(Subjects!$C$2:$C$82,MATCH(A201,Subjects!$A$2:$A$82,0)),"Visit before enrollment",IF(H201="Missed","Missed visit",IF(H201="Scheduled","OK",IF(E201="","Missing weight",IF(OR(E201&lt;'Check Rules'!$B$5,E201&gt;'Check Rules'!$B$6),"Weight out of range",IF(OR(F201&lt;'Check Rules'!$B$7,F201&gt;'Check Rules'!$B$8),"Systolic BP out of range",IF(OR(G201&lt;'Check Rules'!$B$9,G201&gt;'Check Rules'!$B$10),"Diastolic BP out of range",IF(G201&gt;=F201,"Diastolic &gt;= systolic","OK")))))))))</f>
        <v>OK</v>
      </c>
    </row>
    <row r="202" spans="1:9" x14ac:dyDescent="0.25">
      <c r="A202" s="10" t="s">
        <v>160</v>
      </c>
      <c r="B202" s="10" t="s">
        <v>76</v>
      </c>
      <c r="C202" s="10" t="s">
        <v>193</v>
      </c>
      <c r="D202" s="19">
        <v>46075</v>
      </c>
      <c r="E202" s="10">
        <v>72.5</v>
      </c>
      <c r="F202" s="10">
        <v>122</v>
      </c>
      <c r="G202" s="10">
        <v>75</v>
      </c>
      <c r="H202" s="10" t="s">
        <v>191</v>
      </c>
      <c r="I202" s="10" t="str">
        <f>IF(COUNTIF(Subjects!$A$2:$A$82,A202)=0,"Subject not in register",IF(D202&lt;INDEX(Subjects!$C$2:$C$82,MATCH(A202,Subjects!$A$2:$A$82,0)),"Visit before enrollment",IF(H202="Missed","Missed visit",IF(H202="Scheduled","OK",IF(E202="","Missing weight",IF(OR(E202&lt;'Check Rules'!$B$5,E202&gt;'Check Rules'!$B$6),"Weight out of range",IF(OR(F202&lt;'Check Rules'!$B$7,F202&gt;'Check Rules'!$B$8),"Systolic BP out of range",IF(OR(G202&lt;'Check Rules'!$B$9,G202&gt;'Check Rules'!$B$10),"Diastolic BP out of range",IF(G202&gt;=F202,"Diastolic &gt;= systolic","OK")))))))))</f>
        <v>OK</v>
      </c>
    </row>
    <row r="203" spans="1:9" x14ac:dyDescent="0.25">
      <c r="A203" s="10" t="s">
        <v>161</v>
      </c>
      <c r="B203" s="10" t="s">
        <v>78</v>
      </c>
      <c r="C203" s="10" t="s">
        <v>190</v>
      </c>
      <c r="D203" s="19">
        <v>46027</v>
      </c>
      <c r="E203" s="10">
        <v>77.099999999999994</v>
      </c>
      <c r="F203" s="10">
        <v>135</v>
      </c>
      <c r="G203" s="10">
        <v>75</v>
      </c>
      <c r="H203" s="10" t="s">
        <v>191</v>
      </c>
      <c r="I203" s="10" t="str">
        <f>IF(COUNTIF(Subjects!$A$2:$A$82,A203)=0,"Subject not in register",IF(D203&lt;INDEX(Subjects!$C$2:$C$82,MATCH(A203,Subjects!$A$2:$A$82,0)),"Visit before enrollment",IF(H203="Missed","Missed visit",IF(H203="Scheduled","OK",IF(E203="","Missing weight",IF(OR(E203&lt;'Check Rules'!$B$5,E203&gt;'Check Rules'!$B$6),"Weight out of range",IF(OR(F203&lt;'Check Rules'!$B$7,F203&gt;'Check Rules'!$B$8),"Systolic BP out of range",IF(OR(G203&lt;'Check Rules'!$B$9,G203&gt;'Check Rules'!$B$10),"Diastolic BP out of range",IF(G203&gt;=F203,"Diastolic &gt;= systolic","OK")))))))))</f>
        <v>OK</v>
      </c>
    </row>
    <row r="204" spans="1:9" x14ac:dyDescent="0.25">
      <c r="A204" s="10" t="s">
        <v>161</v>
      </c>
      <c r="B204" s="10" t="s">
        <v>78</v>
      </c>
      <c r="C204" s="10" t="s">
        <v>192</v>
      </c>
      <c r="D204" s="19">
        <v>46029</v>
      </c>
      <c r="E204" s="10">
        <v>76.5</v>
      </c>
      <c r="F204" s="10">
        <v>115</v>
      </c>
      <c r="G204" s="10">
        <v>82</v>
      </c>
      <c r="H204" s="10" t="s">
        <v>191</v>
      </c>
      <c r="I204" s="10" t="str">
        <f>IF(COUNTIF(Subjects!$A$2:$A$82,A204)=0,"Subject not in register",IF(D204&lt;INDEX(Subjects!$C$2:$C$82,MATCH(A204,Subjects!$A$2:$A$82,0)),"Visit before enrollment",IF(H204="Missed","Missed visit",IF(H204="Scheduled","OK",IF(E204="","Missing weight",IF(OR(E204&lt;'Check Rules'!$B$5,E204&gt;'Check Rules'!$B$6),"Weight out of range",IF(OR(F204&lt;'Check Rules'!$B$7,F204&gt;'Check Rules'!$B$8),"Systolic BP out of range",IF(OR(G204&lt;'Check Rules'!$B$9,G204&gt;'Check Rules'!$B$10),"Diastolic BP out of range",IF(G204&gt;=F204,"Diastolic &gt;= systolic","OK")))))))))</f>
        <v>OK</v>
      </c>
    </row>
    <row r="205" spans="1:9" x14ac:dyDescent="0.25">
      <c r="A205" s="10" t="s">
        <v>161</v>
      </c>
      <c r="B205" s="10" t="s">
        <v>78</v>
      </c>
      <c r="C205" s="10" t="s">
        <v>193</v>
      </c>
      <c r="D205" s="19">
        <v>46057</v>
      </c>
      <c r="E205" s="10">
        <v>76.7</v>
      </c>
      <c r="F205" s="10">
        <v>117</v>
      </c>
      <c r="G205" s="10">
        <v>79</v>
      </c>
      <c r="H205" s="10" t="s">
        <v>191</v>
      </c>
      <c r="I205" s="10" t="str">
        <f>IF(COUNTIF(Subjects!$A$2:$A$82,A205)=0,"Subject not in register",IF(D205&lt;INDEX(Subjects!$C$2:$C$82,MATCH(A205,Subjects!$A$2:$A$82,0)),"Visit before enrollment",IF(H205="Missed","Missed visit",IF(H205="Scheduled","OK",IF(E205="","Missing weight",IF(OR(E205&lt;'Check Rules'!$B$5,E205&gt;'Check Rules'!$B$6),"Weight out of range",IF(OR(F205&lt;'Check Rules'!$B$7,F205&gt;'Check Rules'!$B$8),"Systolic BP out of range",IF(OR(G205&lt;'Check Rules'!$B$9,G205&gt;'Check Rules'!$B$10),"Diastolic BP out of range",IF(G205&gt;=F205,"Diastolic &gt;= systolic","OK")))))))))</f>
        <v>OK</v>
      </c>
    </row>
    <row r="206" spans="1:9" x14ac:dyDescent="0.25">
      <c r="A206" s="10" t="s">
        <v>161</v>
      </c>
      <c r="B206" s="10" t="s">
        <v>78</v>
      </c>
      <c r="C206" s="10" t="s">
        <v>194</v>
      </c>
      <c r="D206" s="19">
        <v>46085</v>
      </c>
      <c r="E206" s="10">
        <v>75.8</v>
      </c>
      <c r="F206" s="10">
        <v>114</v>
      </c>
      <c r="G206" s="10">
        <v>77</v>
      </c>
      <c r="H206" s="10" t="s">
        <v>191</v>
      </c>
      <c r="I206" s="10" t="str">
        <f>IF(COUNTIF(Subjects!$A$2:$A$82,A206)=0,"Subject not in register",IF(D206&lt;INDEX(Subjects!$C$2:$C$82,MATCH(A206,Subjects!$A$2:$A$82,0)),"Visit before enrollment",IF(H206="Missed","Missed visit",IF(H206="Scheduled","OK",IF(E206="","Missing weight",IF(OR(E206&lt;'Check Rules'!$B$5,E206&gt;'Check Rules'!$B$6),"Weight out of range",IF(OR(F206&lt;'Check Rules'!$B$7,F206&gt;'Check Rules'!$B$8),"Systolic BP out of range",IF(OR(G206&lt;'Check Rules'!$B$9,G206&gt;'Check Rules'!$B$10),"Diastolic BP out of range",IF(G206&gt;=F206,"Diastolic &gt;= systolic","OK")))))))))</f>
        <v>OK</v>
      </c>
    </row>
    <row r="207" spans="1:9" x14ac:dyDescent="0.25">
      <c r="A207" s="10" t="s">
        <v>161</v>
      </c>
      <c r="B207" s="10" t="s">
        <v>78</v>
      </c>
      <c r="C207" s="10" t="s">
        <v>195</v>
      </c>
      <c r="D207" s="19">
        <v>46113</v>
      </c>
      <c r="E207" s="10">
        <v>77.599999999999994</v>
      </c>
      <c r="F207" s="10">
        <v>111</v>
      </c>
      <c r="G207" s="10">
        <v>77</v>
      </c>
      <c r="H207" s="10" t="s">
        <v>191</v>
      </c>
      <c r="I207" s="10" t="str">
        <f>IF(COUNTIF(Subjects!$A$2:$A$82,A207)=0,"Subject not in register",IF(D207&lt;INDEX(Subjects!$C$2:$C$82,MATCH(A207,Subjects!$A$2:$A$82,0)),"Visit before enrollment",IF(H207="Missed","Missed visit",IF(H207="Scheduled","OK",IF(E207="","Missing weight",IF(OR(E207&lt;'Check Rules'!$B$5,E207&gt;'Check Rules'!$B$6),"Weight out of range",IF(OR(F207&lt;'Check Rules'!$B$7,F207&gt;'Check Rules'!$B$8),"Systolic BP out of range",IF(OR(G207&lt;'Check Rules'!$B$9,G207&gt;'Check Rules'!$B$10),"Diastolic BP out of range",IF(G207&gt;=F207,"Diastolic &gt;= systolic","OK")))))))))</f>
        <v>OK</v>
      </c>
    </row>
    <row r="208" spans="1:9" x14ac:dyDescent="0.25">
      <c r="A208" s="10" t="s">
        <v>162</v>
      </c>
      <c r="B208" s="10" t="s">
        <v>76</v>
      </c>
      <c r="C208" s="10" t="s">
        <v>190</v>
      </c>
      <c r="D208" s="19">
        <v>46034</v>
      </c>
      <c r="E208" s="10">
        <v>58.3</v>
      </c>
      <c r="F208" s="10">
        <v>112</v>
      </c>
      <c r="G208" s="10">
        <v>82</v>
      </c>
      <c r="H208" s="10" t="s">
        <v>191</v>
      </c>
      <c r="I208" s="10" t="str">
        <f>IF(COUNTIF(Subjects!$A$2:$A$82,A208)=0,"Subject not in register",IF(D208&lt;INDEX(Subjects!$C$2:$C$82,MATCH(A208,Subjects!$A$2:$A$82,0)),"Visit before enrollment",IF(H208="Missed","Missed visit",IF(H208="Scheduled","OK",IF(E208="","Missing weight",IF(OR(E208&lt;'Check Rules'!$B$5,E208&gt;'Check Rules'!$B$6),"Weight out of range",IF(OR(F208&lt;'Check Rules'!$B$7,F208&gt;'Check Rules'!$B$8),"Systolic BP out of range",IF(OR(G208&lt;'Check Rules'!$B$9,G208&gt;'Check Rules'!$B$10),"Diastolic BP out of range",IF(G208&gt;=F208,"Diastolic &gt;= systolic","OK")))))))))</f>
        <v>OK</v>
      </c>
    </row>
    <row r="209" spans="1:9" x14ac:dyDescent="0.25">
      <c r="A209" s="10" t="s">
        <v>162</v>
      </c>
      <c r="B209" s="10" t="s">
        <v>76</v>
      </c>
      <c r="C209" s="10" t="s">
        <v>192</v>
      </c>
      <c r="D209" s="19">
        <v>46036</v>
      </c>
      <c r="E209" s="10">
        <v>58.6</v>
      </c>
      <c r="F209" s="10">
        <v>117</v>
      </c>
      <c r="G209" s="10">
        <v>92</v>
      </c>
      <c r="H209" s="10" t="s">
        <v>191</v>
      </c>
      <c r="I209" s="10" t="str">
        <f>IF(COUNTIF(Subjects!$A$2:$A$82,A209)=0,"Subject not in register",IF(D209&lt;INDEX(Subjects!$C$2:$C$82,MATCH(A209,Subjects!$A$2:$A$82,0)),"Visit before enrollment",IF(H209="Missed","Missed visit",IF(H209="Scheduled","OK",IF(E209="","Missing weight",IF(OR(E209&lt;'Check Rules'!$B$5,E209&gt;'Check Rules'!$B$6),"Weight out of range",IF(OR(F209&lt;'Check Rules'!$B$7,F209&gt;'Check Rules'!$B$8),"Systolic BP out of range",IF(OR(G209&lt;'Check Rules'!$B$9,G209&gt;'Check Rules'!$B$10),"Diastolic BP out of range",IF(G209&gt;=F209,"Diastolic &gt;= systolic","OK")))))))))</f>
        <v>OK</v>
      </c>
    </row>
    <row r="210" spans="1:9" x14ac:dyDescent="0.25">
      <c r="A210" s="10" t="s">
        <v>162</v>
      </c>
      <c r="B210" s="10" t="s">
        <v>76</v>
      </c>
      <c r="C210" s="10" t="s">
        <v>193</v>
      </c>
      <c r="D210" s="19">
        <v>46064</v>
      </c>
      <c r="E210" s="10">
        <v>58.2</v>
      </c>
      <c r="F210" s="10">
        <v>107</v>
      </c>
      <c r="G210" s="10">
        <v>82</v>
      </c>
      <c r="H210" s="10" t="s">
        <v>191</v>
      </c>
      <c r="I210" s="10" t="str">
        <f>IF(COUNTIF(Subjects!$A$2:$A$82,A210)=0,"Subject not in register",IF(D210&lt;INDEX(Subjects!$C$2:$C$82,MATCH(A210,Subjects!$A$2:$A$82,0)),"Visit before enrollment",IF(H210="Missed","Missed visit",IF(H210="Scheduled","OK",IF(E210="","Missing weight",IF(OR(E210&lt;'Check Rules'!$B$5,E210&gt;'Check Rules'!$B$6),"Weight out of range",IF(OR(F210&lt;'Check Rules'!$B$7,F210&gt;'Check Rules'!$B$8),"Systolic BP out of range",IF(OR(G210&lt;'Check Rules'!$B$9,G210&gt;'Check Rules'!$B$10),"Diastolic BP out of range",IF(G210&gt;=F210,"Diastolic &gt;= systolic","OK")))))))))</f>
        <v>OK</v>
      </c>
    </row>
    <row r="211" spans="1:9" x14ac:dyDescent="0.25">
      <c r="A211" s="10" t="s">
        <v>163</v>
      </c>
      <c r="B211" s="10" t="s">
        <v>76</v>
      </c>
      <c r="C211" s="10" t="s">
        <v>190</v>
      </c>
      <c r="D211" s="19">
        <v>46065</v>
      </c>
      <c r="E211" s="10">
        <v>67.099999999999994</v>
      </c>
      <c r="F211" s="10">
        <v>122</v>
      </c>
      <c r="G211" s="10">
        <v>77</v>
      </c>
      <c r="H211" s="10" t="s">
        <v>191</v>
      </c>
      <c r="I211" s="10" t="str">
        <f>IF(COUNTIF(Subjects!$A$2:$A$82,A211)=0,"Subject not in register",IF(D211&lt;INDEX(Subjects!$C$2:$C$82,MATCH(A211,Subjects!$A$2:$A$82,0)),"Visit before enrollment",IF(H211="Missed","Missed visit",IF(H211="Scheduled","OK",IF(E211="","Missing weight",IF(OR(E211&lt;'Check Rules'!$B$5,E211&gt;'Check Rules'!$B$6),"Weight out of range",IF(OR(F211&lt;'Check Rules'!$B$7,F211&gt;'Check Rules'!$B$8),"Systolic BP out of range",IF(OR(G211&lt;'Check Rules'!$B$9,G211&gt;'Check Rules'!$B$10),"Diastolic BP out of range",IF(G211&gt;=F211,"Diastolic &gt;= systolic","OK")))))))))</f>
        <v>OK</v>
      </c>
    </row>
    <row r="212" spans="1:9" x14ac:dyDescent="0.25">
      <c r="A212" s="10" t="s">
        <v>163</v>
      </c>
      <c r="B212" s="10" t="s">
        <v>76</v>
      </c>
      <c r="C212" s="10" t="s">
        <v>192</v>
      </c>
      <c r="D212" s="19">
        <v>46067</v>
      </c>
      <c r="E212" s="10">
        <v>65.5</v>
      </c>
      <c r="F212" s="10">
        <v>131</v>
      </c>
      <c r="G212" s="10">
        <v>84</v>
      </c>
      <c r="H212" s="10" t="s">
        <v>191</v>
      </c>
      <c r="I212" s="10" t="str">
        <f>IF(COUNTIF(Subjects!$A$2:$A$82,A212)=0,"Subject not in register",IF(D212&lt;INDEX(Subjects!$C$2:$C$82,MATCH(A212,Subjects!$A$2:$A$82,0)),"Visit before enrollment",IF(H212="Missed","Missed visit",IF(H212="Scheduled","OK",IF(E212="","Missing weight",IF(OR(E212&lt;'Check Rules'!$B$5,E212&gt;'Check Rules'!$B$6),"Weight out of range",IF(OR(F212&lt;'Check Rules'!$B$7,F212&gt;'Check Rules'!$B$8),"Systolic BP out of range",IF(OR(G212&lt;'Check Rules'!$B$9,G212&gt;'Check Rules'!$B$10),"Diastolic BP out of range",IF(G212&gt;=F212,"Diastolic &gt;= systolic","OK")))))))))</f>
        <v>OK</v>
      </c>
    </row>
    <row r="213" spans="1:9" x14ac:dyDescent="0.25">
      <c r="A213" s="10" t="s">
        <v>163</v>
      </c>
      <c r="B213" s="10" t="s">
        <v>76</v>
      </c>
      <c r="C213" s="10" t="s">
        <v>193</v>
      </c>
      <c r="D213" s="19">
        <v>46095</v>
      </c>
      <c r="E213" s="10">
        <v>65.8</v>
      </c>
      <c r="F213" s="10">
        <v>135</v>
      </c>
      <c r="G213" s="10">
        <v>77</v>
      </c>
      <c r="H213" s="10" t="s">
        <v>191</v>
      </c>
      <c r="I213" s="10" t="str">
        <f>IF(COUNTIF(Subjects!$A$2:$A$82,A213)=0,"Subject not in register",IF(D213&lt;INDEX(Subjects!$C$2:$C$82,MATCH(A213,Subjects!$A$2:$A$82,0)),"Visit before enrollment",IF(H213="Missed","Missed visit",IF(H213="Scheduled","OK",IF(E213="","Missing weight",IF(OR(E213&lt;'Check Rules'!$B$5,E213&gt;'Check Rules'!$B$6),"Weight out of range",IF(OR(F213&lt;'Check Rules'!$B$7,F213&gt;'Check Rules'!$B$8),"Systolic BP out of range",IF(OR(G213&lt;'Check Rules'!$B$9,G213&gt;'Check Rules'!$B$10),"Diastolic BP out of range",IF(G213&gt;=F213,"Diastolic &gt;= systolic","OK")))))))))</f>
        <v>OK</v>
      </c>
    </row>
    <row r="214" spans="1:9" x14ac:dyDescent="0.25">
      <c r="A214" s="10" t="s">
        <v>163</v>
      </c>
      <c r="B214" s="10" t="s">
        <v>76</v>
      </c>
      <c r="C214" s="10" t="s">
        <v>194</v>
      </c>
      <c r="D214" s="19">
        <v>46123</v>
      </c>
      <c r="E214" s="10">
        <v>65.5</v>
      </c>
      <c r="F214" s="10">
        <v>144</v>
      </c>
      <c r="G214" s="10">
        <v>83</v>
      </c>
      <c r="H214" s="10" t="s">
        <v>191</v>
      </c>
      <c r="I214" s="10" t="str">
        <f>IF(COUNTIF(Subjects!$A$2:$A$82,A214)=0,"Subject not in register",IF(D214&lt;INDEX(Subjects!$C$2:$C$82,MATCH(A214,Subjects!$A$2:$A$82,0)),"Visit before enrollment",IF(H214="Missed","Missed visit",IF(H214="Scheduled","OK",IF(E214="","Missing weight",IF(OR(E214&lt;'Check Rules'!$B$5,E214&gt;'Check Rules'!$B$6),"Weight out of range",IF(OR(F214&lt;'Check Rules'!$B$7,F214&gt;'Check Rules'!$B$8),"Systolic BP out of range",IF(OR(G214&lt;'Check Rules'!$B$9,G214&gt;'Check Rules'!$B$10),"Diastolic BP out of range",IF(G214&gt;=F214,"Diastolic &gt;= systolic","OK")))))))))</f>
        <v>OK</v>
      </c>
    </row>
    <row r="215" spans="1:9" x14ac:dyDescent="0.25">
      <c r="A215" s="10" t="s">
        <v>164</v>
      </c>
      <c r="B215" s="10" t="s">
        <v>76</v>
      </c>
      <c r="C215" s="10" t="s">
        <v>190</v>
      </c>
      <c r="D215" s="19">
        <v>46059</v>
      </c>
      <c r="E215" s="10">
        <v>67.7</v>
      </c>
      <c r="F215" s="10">
        <v>120</v>
      </c>
      <c r="G215" s="10">
        <v>86</v>
      </c>
      <c r="H215" s="10" t="s">
        <v>191</v>
      </c>
      <c r="I215" s="10" t="str">
        <f>IF(COUNTIF(Subjects!$A$2:$A$82,A215)=0,"Subject not in register",IF(D215&lt;INDEX(Subjects!$C$2:$C$82,MATCH(A215,Subjects!$A$2:$A$82,0)),"Visit before enrollment",IF(H215="Missed","Missed visit",IF(H215="Scheduled","OK",IF(E215="","Missing weight",IF(OR(E215&lt;'Check Rules'!$B$5,E215&gt;'Check Rules'!$B$6),"Weight out of range",IF(OR(F215&lt;'Check Rules'!$B$7,F215&gt;'Check Rules'!$B$8),"Systolic BP out of range",IF(OR(G215&lt;'Check Rules'!$B$9,G215&gt;'Check Rules'!$B$10),"Diastolic BP out of range",IF(G215&gt;=F215,"Diastolic &gt;= systolic","OK")))))))))</f>
        <v>OK</v>
      </c>
    </row>
    <row r="216" spans="1:9" x14ac:dyDescent="0.25">
      <c r="A216" s="10" t="s">
        <v>164</v>
      </c>
      <c r="B216" s="10" t="s">
        <v>76</v>
      </c>
      <c r="C216" s="10" t="s">
        <v>192</v>
      </c>
      <c r="D216" s="19">
        <v>46061</v>
      </c>
      <c r="E216" s="10">
        <v>66.5</v>
      </c>
      <c r="F216" s="10">
        <v>117</v>
      </c>
      <c r="G216" s="10">
        <v>77</v>
      </c>
      <c r="H216" s="10" t="s">
        <v>191</v>
      </c>
      <c r="I216" s="10" t="str">
        <f>IF(COUNTIF(Subjects!$A$2:$A$82,A216)=0,"Subject not in register",IF(D216&lt;INDEX(Subjects!$C$2:$C$82,MATCH(A216,Subjects!$A$2:$A$82,0)),"Visit before enrollment",IF(H216="Missed","Missed visit",IF(H216="Scheduled","OK",IF(E216="","Missing weight",IF(OR(E216&lt;'Check Rules'!$B$5,E216&gt;'Check Rules'!$B$6),"Weight out of range",IF(OR(F216&lt;'Check Rules'!$B$7,F216&gt;'Check Rules'!$B$8),"Systolic BP out of range",IF(OR(G216&lt;'Check Rules'!$B$9,G216&gt;'Check Rules'!$B$10),"Diastolic BP out of range",IF(G216&gt;=F216,"Diastolic &gt;= systolic","OK")))))))))</f>
        <v>OK</v>
      </c>
    </row>
    <row r="217" spans="1:9" x14ac:dyDescent="0.25">
      <c r="A217" s="10" t="s">
        <v>164</v>
      </c>
      <c r="B217" s="10" t="s">
        <v>76</v>
      </c>
      <c r="C217" s="10" t="s">
        <v>193</v>
      </c>
      <c r="D217" s="19">
        <v>46089</v>
      </c>
      <c r="E217" s="10">
        <v>67.8</v>
      </c>
      <c r="F217" s="10">
        <v>121</v>
      </c>
      <c r="G217" s="10">
        <v>85</v>
      </c>
      <c r="H217" s="10" t="s">
        <v>191</v>
      </c>
      <c r="I217" s="10" t="str">
        <f>IF(COUNTIF(Subjects!$A$2:$A$82,A217)=0,"Subject not in register",IF(D217&lt;INDEX(Subjects!$C$2:$C$82,MATCH(A217,Subjects!$A$2:$A$82,0)),"Visit before enrollment",IF(H217="Missed","Missed visit",IF(H217="Scheduled","OK",IF(E217="","Missing weight",IF(OR(E217&lt;'Check Rules'!$B$5,E217&gt;'Check Rules'!$B$6),"Weight out of range",IF(OR(F217&lt;'Check Rules'!$B$7,F217&gt;'Check Rules'!$B$8),"Systolic BP out of range",IF(OR(G217&lt;'Check Rules'!$B$9,G217&gt;'Check Rules'!$B$10),"Diastolic BP out of range",IF(G217&gt;=F217,"Diastolic &gt;= systolic","OK")))))))))</f>
        <v>OK</v>
      </c>
    </row>
    <row r="218" spans="1:9" x14ac:dyDescent="0.25">
      <c r="A218" s="10" t="s">
        <v>164</v>
      </c>
      <c r="B218" s="10" t="s">
        <v>76</v>
      </c>
      <c r="C218" s="10" t="s">
        <v>194</v>
      </c>
      <c r="D218" s="19">
        <v>46117</v>
      </c>
      <c r="E218" s="10">
        <v>65.8</v>
      </c>
      <c r="F218" s="10">
        <v>122</v>
      </c>
      <c r="G218" s="10">
        <v>88</v>
      </c>
      <c r="H218" s="10" t="s">
        <v>191</v>
      </c>
      <c r="I218" s="10" t="str">
        <f>IF(COUNTIF(Subjects!$A$2:$A$82,A218)=0,"Subject not in register",IF(D218&lt;INDEX(Subjects!$C$2:$C$82,MATCH(A218,Subjects!$A$2:$A$82,0)),"Visit before enrollment",IF(H218="Missed","Missed visit",IF(H218="Scheduled","OK",IF(E218="","Missing weight",IF(OR(E218&lt;'Check Rules'!$B$5,E218&gt;'Check Rules'!$B$6),"Weight out of range",IF(OR(F218&lt;'Check Rules'!$B$7,F218&gt;'Check Rules'!$B$8),"Systolic BP out of range",IF(OR(G218&lt;'Check Rules'!$B$9,G218&gt;'Check Rules'!$B$10),"Diastolic BP out of range",IF(G218&gt;=F218,"Diastolic &gt;= systolic","OK")))))))))</f>
        <v>OK</v>
      </c>
    </row>
    <row r="219" spans="1:9" x14ac:dyDescent="0.25">
      <c r="A219" s="10" t="s">
        <v>164</v>
      </c>
      <c r="B219" s="10" t="s">
        <v>76</v>
      </c>
      <c r="C219" s="10" t="s">
        <v>195</v>
      </c>
      <c r="D219" s="19">
        <v>46145</v>
      </c>
      <c r="E219" s="10"/>
      <c r="F219" s="10"/>
      <c r="G219" s="10"/>
      <c r="H219" s="10" t="s">
        <v>196</v>
      </c>
      <c r="I219" s="10" t="str">
        <f>IF(COUNTIF(Subjects!$A$2:$A$82,A219)=0,"Subject not in register",IF(D219&lt;INDEX(Subjects!$C$2:$C$82,MATCH(A219,Subjects!$A$2:$A$82,0)),"Visit before enrollment",IF(H219="Missed","Missed visit",IF(H219="Scheduled","OK",IF(E219="","Missing weight",IF(OR(E219&lt;'Check Rules'!$B$5,E219&gt;'Check Rules'!$B$6),"Weight out of range",IF(OR(F219&lt;'Check Rules'!$B$7,F219&gt;'Check Rules'!$B$8),"Systolic BP out of range",IF(OR(G219&lt;'Check Rules'!$B$9,G219&gt;'Check Rules'!$B$10),"Diastolic BP out of range",IF(G219&gt;=F219,"Diastolic &gt;= systolic","OK")))))))))</f>
        <v>OK</v>
      </c>
    </row>
    <row r="220" spans="1:9" x14ac:dyDescent="0.25">
      <c r="A220" s="10" t="s">
        <v>165</v>
      </c>
      <c r="B220" s="10" t="s">
        <v>77</v>
      </c>
      <c r="C220" s="10" t="s">
        <v>190</v>
      </c>
      <c r="D220" s="19">
        <v>46044</v>
      </c>
      <c r="E220" s="10">
        <v>69</v>
      </c>
      <c r="F220" s="10">
        <v>130</v>
      </c>
      <c r="G220" s="10">
        <v>89</v>
      </c>
      <c r="H220" s="10" t="s">
        <v>191</v>
      </c>
      <c r="I220" s="10" t="str">
        <f>IF(COUNTIF(Subjects!$A$2:$A$82,A220)=0,"Subject not in register",IF(D220&lt;INDEX(Subjects!$C$2:$C$82,MATCH(A220,Subjects!$A$2:$A$82,0)),"Visit before enrollment",IF(H220="Missed","Missed visit",IF(H220="Scheduled","OK",IF(E220="","Missing weight",IF(OR(E220&lt;'Check Rules'!$B$5,E220&gt;'Check Rules'!$B$6),"Weight out of range",IF(OR(F220&lt;'Check Rules'!$B$7,F220&gt;'Check Rules'!$B$8),"Systolic BP out of range",IF(OR(G220&lt;'Check Rules'!$B$9,G220&gt;'Check Rules'!$B$10),"Diastolic BP out of range",IF(G220&gt;=F220,"Diastolic &gt;= systolic","OK")))))))))</f>
        <v>OK</v>
      </c>
    </row>
    <row r="221" spans="1:9" x14ac:dyDescent="0.25">
      <c r="A221" s="10" t="s">
        <v>165</v>
      </c>
      <c r="B221" s="10" t="s">
        <v>77</v>
      </c>
      <c r="C221" s="10" t="s">
        <v>192</v>
      </c>
      <c r="D221" s="19">
        <v>46046</v>
      </c>
      <c r="E221" s="10">
        <v>69.8</v>
      </c>
      <c r="F221" s="10">
        <v>126</v>
      </c>
      <c r="G221" s="10">
        <v>81</v>
      </c>
      <c r="H221" s="10" t="s">
        <v>191</v>
      </c>
      <c r="I221" s="10" t="str">
        <f>IF(COUNTIF(Subjects!$A$2:$A$82,A221)=0,"Subject not in register",IF(D221&lt;INDEX(Subjects!$C$2:$C$82,MATCH(A221,Subjects!$A$2:$A$82,0)),"Visit before enrollment",IF(H221="Missed","Missed visit",IF(H221="Scheduled","OK",IF(E221="","Missing weight",IF(OR(E221&lt;'Check Rules'!$B$5,E221&gt;'Check Rules'!$B$6),"Weight out of range",IF(OR(F221&lt;'Check Rules'!$B$7,F221&gt;'Check Rules'!$B$8),"Systolic BP out of range",IF(OR(G221&lt;'Check Rules'!$B$9,G221&gt;'Check Rules'!$B$10),"Diastolic BP out of range",IF(G221&gt;=F221,"Diastolic &gt;= systolic","OK")))))))))</f>
        <v>OK</v>
      </c>
    </row>
    <row r="222" spans="1:9" x14ac:dyDescent="0.25">
      <c r="A222" s="10" t="s">
        <v>165</v>
      </c>
      <c r="B222" s="10" t="s">
        <v>77</v>
      </c>
      <c r="C222" s="10" t="s">
        <v>193</v>
      </c>
      <c r="D222" s="19">
        <v>46074</v>
      </c>
      <c r="E222" s="10">
        <v>68.7</v>
      </c>
      <c r="F222" s="10">
        <v>119</v>
      </c>
      <c r="G222" s="10">
        <v>80</v>
      </c>
      <c r="H222" s="10" t="s">
        <v>191</v>
      </c>
      <c r="I222" s="10" t="str">
        <f>IF(COUNTIF(Subjects!$A$2:$A$82,A222)=0,"Subject not in register",IF(D222&lt;INDEX(Subjects!$C$2:$C$82,MATCH(A222,Subjects!$A$2:$A$82,0)),"Visit before enrollment",IF(H222="Missed","Missed visit",IF(H222="Scheduled","OK",IF(E222="","Missing weight",IF(OR(E222&lt;'Check Rules'!$B$5,E222&gt;'Check Rules'!$B$6),"Weight out of range",IF(OR(F222&lt;'Check Rules'!$B$7,F222&gt;'Check Rules'!$B$8),"Systolic BP out of range",IF(OR(G222&lt;'Check Rules'!$B$9,G222&gt;'Check Rules'!$B$10),"Diastolic BP out of range",IF(G222&gt;=F222,"Diastolic &gt;= systolic","OK")))))))))</f>
        <v>OK</v>
      </c>
    </row>
    <row r="223" spans="1:9" x14ac:dyDescent="0.25">
      <c r="A223" s="10" t="s">
        <v>165</v>
      </c>
      <c r="B223" s="10" t="s">
        <v>77</v>
      </c>
      <c r="C223" s="10" t="s">
        <v>194</v>
      </c>
      <c r="D223" s="19">
        <v>46102</v>
      </c>
      <c r="E223" s="10">
        <v>68.599999999999994</v>
      </c>
      <c r="F223" s="10">
        <v>129</v>
      </c>
      <c r="G223" s="10">
        <v>78</v>
      </c>
      <c r="H223" s="10" t="s">
        <v>191</v>
      </c>
      <c r="I223" s="10" t="str">
        <f>IF(COUNTIF(Subjects!$A$2:$A$82,A223)=0,"Subject not in register",IF(D223&lt;INDEX(Subjects!$C$2:$C$82,MATCH(A223,Subjects!$A$2:$A$82,0)),"Visit before enrollment",IF(H223="Missed","Missed visit",IF(H223="Scheduled","OK",IF(E223="","Missing weight",IF(OR(E223&lt;'Check Rules'!$B$5,E223&gt;'Check Rules'!$B$6),"Weight out of range",IF(OR(F223&lt;'Check Rules'!$B$7,F223&gt;'Check Rules'!$B$8),"Systolic BP out of range",IF(OR(G223&lt;'Check Rules'!$B$9,G223&gt;'Check Rules'!$B$10),"Diastolic BP out of range",IF(G223&gt;=F223,"Diastolic &gt;= systolic","OK")))))))))</f>
        <v>OK</v>
      </c>
    </row>
    <row r="224" spans="1:9" x14ac:dyDescent="0.25">
      <c r="A224" s="10" t="s">
        <v>165</v>
      </c>
      <c r="B224" s="10" t="s">
        <v>77</v>
      </c>
      <c r="C224" s="10" t="s">
        <v>195</v>
      </c>
      <c r="D224" s="19">
        <v>46130</v>
      </c>
      <c r="E224" s="10">
        <v>68.3</v>
      </c>
      <c r="F224" s="10">
        <v>123</v>
      </c>
      <c r="G224" s="10">
        <v>81</v>
      </c>
      <c r="H224" s="10" t="s">
        <v>191</v>
      </c>
      <c r="I224" s="10" t="str">
        <f>IF(COUNTIF(Subjects!$A$2:$A$82,A224)=0,"Subject not in register",IF(D224&lt;INDEX(Subjects!$C$2:$C$82,MATCH(A224,Subjects!$A$2:$A$82,0)),"Visit before enrollment",IF(H224="Missed","Missed visit",IF(H224="Scheduled","OK",IF(E224="","Missing weight",IF(OR(E224&lt;'Check Rules'!$B$5,E224&gt;'Check Rules'!$B$6),"Weight out of range",IF(OR(F224&lt;'Check Rules'!$B$7,F224&gt;'Check Rules'!$B$8),"Systolic BP out of range",IF(OR(G224&lt;'Check Rules'!$B$9,G224&gt;'Check Rules'!$B$10),"Diastolic BP out of range",IF(G224&gt;=F224,"Diastolic &gt;= systolic","OK")))))))))</f>
        <v>OK</v>
      </c>
    </row>
    <row r="225" spans="1:9" x14ac:dyDescent="0.25">
      <c r="A225" s="10" t="s">
        <v>166</v>
      </c>
      <c r="B225" s="10" t="s">
        <v>76</v>
      </c>
      <c r="C225" s="10" t="s">
        <v>190</v>
      </c>
      <c r="D225" s="19">
        <v>46037</v>
      </c>
      <c r="E225" s="10">
        <v>86.8</v>
      </c>
      <c r="F225" s="10">
        <v>127</v>
      </c>
      <c r="G225" s="10">
        <v>83</v>
      </c>
      <c r="H225" s="10" t="s">
        <v>191</v>
      </c>
      <c r="I225" s="10" t="str">
        <f>IF(COUNTIF(Subjects!$A$2:$A$82,A225)=0,"Subject not in register",IF(D225&lt;INDEX(Subjects!$C$2:$C$82,MATCH(A225,Subjects!$A$2:$A$82,0)),"Visit before enrollment",IF(H225="Missed","Missed visit",IF(H225="Scheduled","OK",IF(E225="","Missing weight",IF(OR(E225&lt;'Check Rules'!$B$5,E225&gt;'Check Rules'!$B$6),"Weight out of range",IF(OR(F225&lt;'Check Rules'!$B$7,F225&gt;'Check Rules'!$B$8),"Systolic BP out of range",IF(OR(G225&lt;'Check Rules'!$B$9,G225&gt;'Check Rules'!$B$10),"Diastolic BP out of range",IF(G225&gt;=F225,"Diastolic &gt;= systolic","OK")))))))))</f>
        <v>OK</v>
      </c>
    </row>
    <row r="226" spans="1:9" x14ac:dyDescent="0.25">
      <c r="A226" s="10" t="s">
        <v>166</v>
      </c>
      <c r="B226" s="10" t="s">
        <v>76</v>
      </c>
      <c r="C226" s="10" t="s">
        <v>192</v>
      </c>
      <c r="D226" s="19">
        <v>46039</v>
      </c>
      <c r="E226" s="10">
        <v>86.6</v>
      </c>
      <c r="F226" s="10">
        <v>128</v>
      </c>
      <c r="G226" s="10">
        <v>82</v>
      </c>
      <c r="H226" s="10" t="s">
        <v>191</v>
      </c>
      <c r="I226" s="10" t="str">
        <f>IF(COUNTIF(Subjects!$A$2:$A$82,A226)=0,"Subject not in register",IF(D226&lt;INDEX(Subjects!$C$2:$C$82,MATCH(A226,Subjects!$A$2:$A$82,0)),"Visit before enrollment",IF(H226="Missed","Missed visit",IF(H226="Scheduled","OK",IF(E226="","Missing weight",IF(OR(E226&lt;'Check Rules'!$B$5,E226&gt;'Check Rules'!$B$6),"Weight out of range",IF(OR(F226&lt;'Check Rules'!$B$7,F226&gt;'Check Rules'!$B$8),"Systolic BP out of range",IF(OR(G226&lt;'Check Rules'!$B$9,G226&gt;'Check Rules'!$B$10),"Diastolic BP out of range",IF(G226&gt;=F226,"Diastolic &gt;= systolic","OK")))))))))</f>
        <v>OK</v>
      </c>
    </row>
    <row r="227" spans="1:9" x14ac:dyDescent="0.25">
      <c r="A227" s="10" t="s">
        <v>166</v>
      </c>
      <c r="B227" s="10" t="s">
        <v>76</v>
      </c>
      <c r="C227" s="10" t="s">
        <v>193</v>
      </c>
      <c r="D227" s="19">
        <v>46067</v>
      </c>
      <c r="E227" s="10">
        <v>85.3</v>
      </c>
      <c r="F227" s="10">
        <v>127</v>
      </c>
      <c r="G227" s="10">
        <v>83</v>
      </c>
      <c r="H227" s="10" t="s">
        <v>191</v>
      </c>
      <c r="I227" s="10" t="str">
        <f>IF(COUNTIF(Subjects!$A$2:$A$82,A227)=0,"Subject not in register",IF(D227&lt;INDEX(Subjects!$C$2:$C$82,MATCH(A227,Subjects!$A$2:$A$82,0)),"Visit before enrollment",IF(H227="Missed","Missed visit",IF(H227="Scheduled","OK",IF(E227="","Missing weight",IF(OR(E227&lt;'Check Rules'!$B$5,E227&gt;'Check Rules'!$B$6),"Weight out of range",IF(OR(F227&lt;'Check Rules'!$B$7,F227&gt;'Check Rules'!$B$8),"Systolic BP out of range",IF(OR(G227&lt;'Check Rules'!$B$9,G227&gt;'Check Rules'!$B$10),"Diastolic BP out of range",IF(G227&gt;=F227,"Diastolic &gt;= systolic","OK")))))))))</f>
        <v>OK</v>
      </c>
    </row>
    <row r="228" spans="1:9" x14ac:dyDescent="0.25">
      <c r="A228" s="10" t="s">
        <v>166</v>
      </c>
      <c r="B228" s="10" t="s">
        <v>76</v>
      </c>
      <c r="C228" s="10" t="s">
        <v>194</v>
      </c>
      <c r="D228" s="19">
        <v>46095</v>
      </c>
      <c r="E228" s="10">
        <v>87.7</v>
      </c>
      <c r="F228" s="10">
        <v>140</v>
      </c>
      <c r="G228" s="10">
        <v>92</v>
      </c>
      <c r="H228" s="10" t="s">
        <v>191</v>
      </c>
      <c r="I228" s="10" t="str">
        <f>IF(COUNTIF(Subjects!$A$2:$A$82,A228)=0,"Subject not in register",IF(D228&lt;INDEX(Subjects!$C$2:$C$82,MATCH(A228,Subjects!$A$2:$A$82,0)),"Visit before enrollment",IF(H228="Missed","Missed visit",IF(H228="Scheduled","OK",IF(E228="","Missing weight",IF(OR(E228&lt;'Check Rules'!$B$5,E228&gt;'Check Rules'!$B$6),"Weight out of range",IF(OR(F228&lt;'Check Rules'!$B$7,F228&gt;'Check Rules'!$B$8),"Systolic BP out of range",IF(OR(G228&lt;'Check Rules'!$B$9,G228&gt;'Check Rules'!$B$10),"Diastolic BP out of range",IF(G228&gt;=F228,"Diastolic &gt;= systolic","OK")))))))))</f>
        <v>OK</v>
      </c>
    </row>
    <row r="229" spans="1:9" x14ac:dyDescent="0.25">
      <c r="A229" s="10" t="s">
        <v>167</v>
      </c>
      <c r="B229" s="10" t="s">
        <v>74</v>
      </c>
      <c r="C229" s="10" t="s">
        <v>190</v>
      </c>
      <c r="D229" s="19">
        <v>46034</v>
      </c>
      <c r="E229" s="10">
        <v>65.3</v>
      </c>
      <c r="F229" s="10">
        <v>109</v>
      </c>
      <c r="G229" s="10">
        <v>84</v>
      </c>
      <c r="H229" s="10" t="s">
        <v>191</v>
      </c>
      <c r="I229" s="10" t="str">
        <f>IF(COUNTIF(Subjects!$A$2:$A$82,A229)=0,"Subject not in register",IF(D229&lt;INDEX(Subjects!$C$2:$C$82,MATCH(A229,Subjects!$A$2:$A$82,0)),"Visit before enrollment",IF(H229="Missed","Missed visit",IF(H229="Scheduled","OK",IF(E229="","Missing weight",IF(OR(E229&lt;'Check Rules'!$B$5,E229&gt;'Check Rules'!$B$6),"Weight out of range",IF(OR(F229&lt;'Check Rules'!$B$7,F229&gt;'Check Rules'!$B$8),"Systolic BP out of range",IF(OR(G229&lt;'Check Rules'!$B$9,G229&gt;'Check Rules'!$B$10),"Diastolic BP out of range",IF(G229&gt;=F229,"Diastolic &gt;= systolic","OK")))))))))</f>
        <v>OK</v>
      </c>
    </row>
    <row r="230" spans="1:9" x14ac:dyDescent="0.25">
      <c r="A230" s="10" t="s">
        <v>167</v>
      </c>
      <c r="B230" s="10" t="s">
        <v>74</v>
      </c>
      <c r="C230" s="10" t="s">
        <v>192</v>
      </c>
      <c r="D230" s="19">
        <v>46036</v>
      </c>
      <c r="E230" s="10">
        <v>64.2</v>
      </c>
      <c r="F230" s="10">
        <v>111</v>
      </c>
      <c r="G230" s="10">
        <v>86</v>
      </c>
      <c r="H230" s="10" t="s">
        <v>191</v>
      </c>
      <c r="I230" s="10" t="str">
        <f>IF(COUNTIF(Subjects!$A$2:$A$82,A230)=0,"Subject not in register",IF(D230&lt;INDEX(Subjects!$C$2:$C$82,MATCH(A230,Subjects!$A$2:$A$82,0)),"Visit before enrollment",IF(H230="Missed","Missed visit",IF(H230="Scheduled","OK",IF(E230="","Missing weight",IF(OR(E230&lt;'Check Rules'!$B$5,E230&gt;'Check Rules'!$B$6),"Weight out of range",IF(OR(F230&lt;'Check Rules'!$B$7,F230&gt;'Check Rules'!$B$8),"Systolic BP out of range",IF(OR(G230&lt;'Check Rules'!$B$9,G230&gt;'Check Rules'!$B$10),"Diastolic BP out of range",IF(G230&gt;=F230,"Diastolic &gt;= systolic","OK")))))))))</f>
        <v>OK</v>
      </c>
    </row>
    <row r="231" spans="1:9" x14ac:dyDescent="0.25">
      <c r="A231" s="10" t="s">
        <v>167</v>
      </c>
      <c r="B231" s="10" t="s">
        <v>74</v>
      </c>
      <c r="C231" s="10" t="s">
        <v>193</v>
      </c>
      <c r="D231" s="19">
        <v>46064</v>
      </c>
      <c r="E231" s="10">
        <v>66.400000000000006</v>
      </c>
      <c r="F231" s="10">
        <v>117</v>
      </c>
      <c r="G231" s="10">
        <v>86</v>
      </c>
      <c r="H231" s="10" t="s">
        <v>191</v>
      </c>
      <c r="I231" s="10" t="str">
        <f>IF(COUNTIF(Subjects!$A$2:$A$82,A231)=0,"Subject not in register",IF(D231&lt;INDEX(Subjects!$C$2:$C$82,MATCH(A231,Subjects!$A$2:$A$82,0)),"Visit before enrollment",IF(H231="Missed","Missed visit",IF(H231="Scheduled","OK",IF(E231="","Missing weight",IF(OR(E231&lt;'Check Rules'!$B$5,E231&gt;'Check Rules'!$B$6),"Weight out of range",IF(OR(F231&lt;'Check Rules'!$B$7,F231&gt;'Check Rules'!$B$8),"Systolic BP out of range",IF(OR(G231&lt;'Check Rules'!$B$9,G231&gt;'Check Rules'!$B$10),"Diastolic BP out of range",IF(G231&gt;=F231,"Diastolic &gt;= systolic","OK")))))))))</f>
        <v>OK</v>
      </c>
    </row>
    <row r="232" spans="1:9" x14ac:dyDescent="0.25">
      <c r="A232" s="10" t="s">
        <v>167</v>
      </c>
      <c r="B232" s="10" t="s">
        <v>74</v>
      </c>
      <c r="C232" s="10" t="s">
        <v>194</v>
      </c>
      <c r="D232" s="19">
        <v>46092</v>
      </c>
      <c r="E232" s="10">
        <v>65.5</v>
      </c>
      <c r="F232" s="10">
        <v>112</v>
      </c>
      <c r="G232" s="10">
        <v>84</v>
      </c>
      <c r="H232" s="10" t="s">
        <v>191</v>
      </c>
      <c r="I232" s="10" t="str">
        <f>IF(COUNTIF(Subjects!$A$2:$A$82,A232)=0,"Subject not in register",IF(D232&lt;INDEX(Subjects!$C$2:$C$82,MATCH(A232,Subjects!$A$2:$A$82,0)),"Visit before enrollment",IF(H232="Missed","Missed visit",IF(H232="Scheduled","OK",IF(E232="","Missing weight",IF(OR(E232&lt;'Check Rules'!$B$5,E232&gt;'Check Rules'!$B$6),"Weight out of range",IF(OR(F232&lt;'Check Rules'!$B$7,F232&gt;'Check Rules'!$B$8),"Systolic BP out of range",IF(OR(G232&lt;'Check Rules'!$B$9,G232&gt;'Check Rules'!$B$10),"Diastolic BP out of range",IF(G232&gt;=F232,"Diastolic &gt;= systolic","OK")))))))))</f>
        <v>OK</v>
      </c>
    </row>
    <row r="233" spans="1:9" x14ac:dyDescent="0.25">
      <c r="A233" s="10" t="s">
        <v>168</v>
      </c>
      <c r="B233" s="10" t="s">
        <v>78</v>
      </c>
      <c r="C233" s="10" t="s">
        <v>190</v>
      </c>
      <c r="D233" s="19">
        <v>46062</v>
      </c>
      <c r="E233" s="10">
        <v>84</v>
      </c>
      <c r="F233" s="10">
        <v>129</v>
      </c>
      <c r="G233" s="10">
        <v>84</v>
      </c>
      <c r="H233" s="10" t="s">
        <v>191</v>
      </c>
      <c r="I233" s="10" t="str">
        <f>IF(COUNTIF(Subjects!$A$2:$A$82,A233)=0,"Subject not in register",IF(D233&lt;INDEX(Subjects!$C$2:$C$82,MATCH(A233,Subjects!$A$2:$A$82,0)),"Visit before enrollment",IF(H233="Missed","Missed visit",IF(H233="Scheduled","OK",IF(E233="","Missing weight",IF(OR(E233&lt;'Check Rules'!$B$5,E233&gt;'Check Rules'!$B$6),"Weight out of range",IF(OR(F233&lt;'Check Rules'!$B$7,F233&gt;'Check Rules'!$B$8),"Systolic BP out of range",IF(OR(G233&lt;'Check Rules'!$B$9,G233&gt;'Check Rules'!$B$10),"Diastolic BP out of range",IF(G233&gt;=F233,"Diastolic &gt;= systolic","OK")))))))))</f>
        <v>OK</v>
      </c>
    </row>
    <row r="234" spans="1:9" x14ac:dyDescent="0.25">
      <c r="A234" s="10" t="s">
        <v>168</v>
      </c>
      <c r="B234" s="10" t="s">
        <v>78</v>
      </c>
      <c r="C234" s="10" t="s">
        <v>192</v>
      </c>
      <c r="D234" s="19">
        <v>46064</v>
      </c>
      <c r="E234" s="10">
        <v>84.3</v>
      </c>
      <c r="F234" s="10">
        <v>121</v>
      </c>
      <c r="G234" s="10">
        <v>75</v>
      </c>
      <c r="H234" s="10" t="s">
        <v>191</v>
      </c>
      <c r="I234" s="10" t="str">
        <f>IF(COUNTIF(Subjects!$A$2:$A$82,A234)=0,"Subject not in register",IF(D234&lt;INDEX(Subjects!$C$2:$C$82,MATCH(A234,Subjects!$A$2:$A$82,0)),"Visit before enrollment",IF(H234="Missed","Missed visit",IF(H234="Scheduled","OK",IF(E234="","Missing weight",IF(OR(E234&lt;'Check Rules'!$B$5,E234&gt;'Check Rules'!$B$6),"Weight out of range",IF(OR(F234&lt;'Check Rules'!$B$7,F234&gt;'Check Rules'!$B$8),"Systolic BP out of range",IF(OR(G234&lt;'Check Rules'!$B$9,G234&gt;'Check Rules'!$B$10),"Diastolic BP out of range",IF(G234&gt;=F234,"Diastolic &gt;= systolic","OK")))))))))</f>
        <v>OK</v>
      </c>
    </row>
    <row r="235" spans="1:9" x14ac:dyDescent="0.25">
      <c r="A235" s="10" t="s">
        <v>168</v>
      </c>
      <c r="B235" s="10" t="s">
        <v>78</v>
      </c>
      <c r="C235" s="10" t="s">
        <v>193</v>
      </c>
      <c r="D235" s="19">
        <v>46092</v>
      </c>
      <c r="E235" s="10">
        <v>83.7</v>
      </c>
      <c r="F235" s="10">
        <v>129</v>
      </c>
      <c r="G235" s="10">
        <v>84</v>
      </c>
      <c r="H235" s="10" t="s">
        <v>191</v>
      </c>
      <c r="I235" s="10" t="str">
        <f>IF(COUNTIF(Subjects!$A$2:$A$82,A235)=0,"Subject not in register",IF(D235&lt;INDEX(Subjects!$C$2:$C$82,MATCH(A235,Subjects!$A$2:$A$82,0)),"Visit before enrollment",IF(H235="Missed","Missed visit",IF(H235="Scheduled","OK",IF(E235="","Missing weight",IF(OR(E235&lt;'Check Rules'!$B$5,E235&gt;'Check Rules'!$B$6),"Weight out of range",IF(OR(F235&lt;'Check Rules'!$B$7,F235&gt;'Check Rules'!$B$8),"Systolic BP out of range",IF(OR(G235&lt;'Check Rules'!$B$9,G235&gt;'Check Rules'!$B$10),"Diastolic BP out of range",IF(G235&gt;=F235,"Diastolic &gt;= systolic","OK")))))))))</f>
        <v>OK</v>
      </c>
    </row>
    <row r="236" spans="1:9" x14ac:dyDescent="0.25">
      <c r="A236" s="10" t="s">
        <v>168</v>
      </c>
      <c r="B236" s="10" t="s">
        <v>78</v>
      </c>
      <c r="C236" s="10" t="s">
        <v>194</v>
      </c>
      <c r="D236" s="19">
        <v>46120</v>
      </c>
      <c r="E236" s="10">
        <v>83</v>
      </c>
      <c r="F236" s="10">
        <v>131</v>
      </c>
      <c r="G236" s="10">
        <v>82</v>
      </c>
      <c r="H236" s="10" t="s">
        <v>191</v>
      </c>
      <c r="I236" s="10" t="str">
        <f>IF(COUNTIF(Subjects!$A$2:$A$82,A236)=0,"Subject not in register",IF(D236&lt;INDEX(Subjects!$C$2:$C$82,MATCH(A236,Subjects!$A$2:$A$82,0)),"Visit before enrollment",IF(H236="Missed","Missed visit",IF(H236="Scheduled","OK",IF(E236="","Missing weight",IF(OR(E236&lt;'Check Rules'!$B$5,E236&gt;'Check Rules'!$B$6),"Weight out of range",IF(OR(F236&lt;'Check Rules'!$B$7,F236&gt;'Check Rules'!$B$8),"Systolic BP out of range",IF(OR(G236&lt;'Check Rules'!$B$9,G236&gt;'Check Rules'!$B$10),"Diastolic BP out of range",IF(G236&gt;=F236,"Diastolic &gt;= systolic","OK")))))))))</f>
        <v>OK</v>
      </c>
    </row>
    <row r="237" spans="1:9" x14ac:dyDescent="0.25">
      <c r="A237" s="10" t="s">
        <v>168</v>
      </c>
      <c r="B237" s="10" t="s">
        <v>78</v>
      </c>
      <c r="C237" s="10" t="s">
        <v>195</v>
      </c>
      <c r="D237" s="19">
        <v>46148</v>
      </c>
      <c r="E237" s="10"/>
      <c r="F237" s="10"/>
      <c r="G237" s="10"/>
      <c r="H237" s="10" t="s">
        <v>196</v>
      </c>
      <c r="I237" s="10" t="str">
        <f>IF(COUNTIF(Subjects!$A$2:$A$82,A237)=0,"Subject not in register",IF(D237&lt;INDEX(Subjects!$C$2:$C$82,MATCH(A237,Subjects!$A$2:$A$82,0)),"Visit before enrollment",IF(H237="Missed","Missed visit",IF(H237="Scheduled","OK",IF(E237="","Missing weight",IF(OR(E237&lt;'Check Rules'!$B$5,E237&gt;'Check Rules'!$B$6),"Weight out of range",IF(OR(F237&lt;'Check Rules'!$B$7,F237&gt;'Check Rules'!$B$8),"Systolic BP out of range",IF(OR(G237&lt;'Check Rules'!$B$9,G237&gt;'Check Rules'!$B$10),"Diastolic BP out of range",IF(G237&gt;=F237,"Diastolic &gt;= systolic","OK")))))))))</f>
        <v>OK</v>
      </c>
    </row>
    <row r="238" spans="1:9" x14ac:dyDescent="0.25">
      <c r="A238" s="10" t="s">
        <v>169</v>
      </c>
      <c r="B238" s="10" t="s">
        <v>76</v>
      </c>
      <c r="C238" s="10" t="s">
        <v>190</v>
      </c>
      <c r="D238" s="19">
        <v>46050</v>
      </c>
      <c r="E238" s="10">
        <v>80.3</v>
      </c>
      <c r="F238" s="10">
        <v>134</v>
      </c>
      <c r="G238" s="10">
        <v>91</v>
      </c>
      <c r="H238" s="10" t="s">
        <v>191</v>
      </c>
      <c r="I238" s="10" t="str">
        <f>IF(COUNTIF(Subjects!$A$2:$A$82,A238)=0,"Subject not in register",IF(D238&lt;INDEX(Subjects!$C$2:$C$82,MATCH(A238,Subjects!$A$2:$A$82,0)),"Visit before enrollment",IF(H238="Missed","Missed visit",IF(H238="Scheduled","OK",IF(E238="","Missing weight",IF(OR(E238&lt;'Check Rules'!$B$5,E238&gt;'Check Rules'!$B$6),"Weight out of range",IF(OR(F238&lt;'Check Rules'!$B$7,F238&gt;'Check Rules'!$B$8),"Systolic BP out of range",IF(OR(G238&lt;'Check Rules'!$B$9,G238&gt;'Check Rules'!$B$10),"Diastolic BP out of range",IF(G238&gt;=F238,"Diastolic &gt;= systolic","OK")))))))))</f>
        <v>OK</v>
      </c>
    </row>
    <row r="239" spans="1:9" x14ac:dyDescent="0.25">
      <c r="A239" s="10" t="s">
        <v>169</v>
      </c>
      <c r="B239" s="10" t="s">
        <v>76</v>
      </c>
      <c r="C239" s="10" t="s">
        <v>192</v>
      </c>
      <c r="D239" s="19">
        <v>46052</v>
      </c>
      <c r="E239" s="10">
        <v>80.5</v>
      </c>
      <c r="F239" s="10">
        <v>142</v>
      </c>
      <c r="G239" s="10">
        <v>84</v>
      </c>
      <c r="H239" s="10" t="s">
        <v>191</v>
      </c>
      <c r="I239" s="10" t="str">
        <f>IF(COUNTIF(Subjects!$A$2:$A$82,A239)=0,"Subject not in register",IF(D239&lt;INDEX(Subjects!$C$2:$C$82,MATCH(A239,Subjects!$A$2:$A$82,0)),"Visit before enrollment",IF(H239="Missed","Missed visit",IF(H239="Scheduled","OK",IF(E239="","Missing weight",IF(OR(E239&lt;'Check Rules'!$B$5,E239&gt;'Check Rules'!$B$6),"Weight out of range",IF(OR(F239&lt;'Check Rules'!$B$7,F239&gt;'Check Rules'!$B$8),"Systolic BP out of range",IF(OR(G239&lt;'Check Rules'!$B$9,G239&gt;'Check Rules'!$B$10),"Diastolic BP out of range",IF(G239&gt;=F239,"Diastolic &gt;= systolic","OK")))))))))</f>
        <v>OK</v>
      </c>
    </row>
    <row r="240" spans="1:9" x14ac:dyDescent="0.25">
      <c r="A240" s="10" t="s">
        <v>169</v>
      </c>
      <c r="B240" s="10" t="s">
        <v>76</v>
      </c>
      <c r="C240" s="10" t="s">
        <v>193</v>
      </c>
      <c r="D240" s="19">
        <v>46080</v>
      </c>
      <c r="E240" s="10">
        <v>80.3</v>
      </c>
      <c r="F240" s="10">
        <v>143</v>
      </c>
      <c r="G240" s="10">
        <v>86</v>
      </c>
      <c r="H240" s="10" t="s">
        <v>191</v>
      </c>
      <c r="I240" s="10" t="str">
        <f>IF(COUNTIF(Subjects!$A$2:$A$82,A240)=0,"Subject not in register",IF(D240&lt;INDEX(Subjects!$C$2:$C$82,MATCH(A240,Subjects!$A$2:$A$82,0)),"Visit before enrollment",IF(H240="Missed","Missed visit",IF(H240="Scheduled","OK",IF(E240="","Missing weight",IF(OR(E240&lt;'Check Rules'!$B$5,E240&gt;'Check Rules'!$B$6),"Weight out of range",IF(OR(F240&lt;'Check Rules'!$B$7,F240&gt;'Check Rules'!$B$8),"Systolic BP out of range",IF(OR(G240&lt;'Check Rules'!$B$9,G240&gt;'Check Rules'!$B$10),"Diastolic BP out of range",IF(G240&gt;=F240,"Diastolic &gt;= systolic","OK")))))))))</f>
        <v>OK</v>
      </c>
    </row>
    <row r="241" spans="1:9" x14ac:dyDescent="0.25">
      <c r="A241" s="10" t="s">
        <v>169</v>
      </c>
      <c r="B241" s="10" t="s">
        <v>76</v>
      </c>
      <c r="C241" s="10" t="s">
        <v>194</v>
      </c>
      <c r="D241" s="19">
        <v>46108</v>
      </c>
      <c r="E241" s="10">
        <v>82.3</v>
      </c>
      <c r="F241" s="10">
        <v>133</v>
      </c>
      <c r="G241" s="10">
        <v>90</v>
      </c>
      <c r="H241" s="10" t="s">
        <v>191</v>
      </c>
      <c r="I241" s="10" t="str">
        <f>IF(COUNTIF(Subjects!$A$2:$A$82,A241)=0,"Subject not in register",IF(D241&lt;INDEX(Subjects!$C$2:$C$82,MATCH(A241,Subjects!$A$2:$A$82,0)),"Visit before enrollment",IF(H241="Missed","Missed visit",IF(H241="Scheduled","OK",IF(E241="","Missing weight",IF(OR(E241&lt;'Check Rules'!$B$5,E241&gt;'Check Rules'!$B$6),"Weight out of range",IF(OR(F241&lt;'Check Rules'!$B$7,F241&gt;'Check Rules'!$B$8),"Systolic BP out of range",IF(OR(G241&lt;'Check Rules'!$B$9,G241&gt;'Check Rules'!$B$10),"Diastolic BP out of range",IF(G241&gt;=F241,"Diastolic &gt;= systolic","OK")))))))))</f>
        <v>OK</v>
      </c>
    </row>
    <row r="242" spans="1:9" x14ac:dyDescent="0.25">
      <c r="A242" s="10" t="s">
        <v>169</v>
      </c>
      <c r="B242" s="10" t="s">
        <v>76</v>
      </c>
      <c r="C242" s="10" t="s">
        <v>195</v>
      </c>
      <c r="D242" s="19">
        <v>46136</v>
      </c>
      <c r="E242" s="10">
        <v>81.900000000000006</v>
      </c>
      <c r="F242" s="10">
        <v>133</v>
      </c>
      <c r="G242" s="10">
        <v>88</v>
      </c>
      <c r="H242" s="10" t="s">
        <v>191</v>
      </c>
      <c r="I242" s="10" t="str">
        <f>IF(COUNTIF(Subjects!$A$2:$A$82,A242)=0,"Subject not in register",IF(D242&lt;INDEX(Subjects!$C$2:$C$82,MATCH(A242,Subjects!$A$2:$A$82,0)),"Visit before enrollment",IF(H242="Missed","Missed visit",IF(H242="Scheduled","OK",IF(E242="","Missing weight",IF(OR(E242&lt;'Check Rules'!$B$5,E242&gt;'Check Rules'!$B$6),"Weight out of range",IF(OR(F242&lt;'Check Rules'!$B$7,F242&gt;'Check Rules'!$B$8),"Systolic BP out of range",IF(OR(G242&lt;'Check Rules'!$B$9,G242&gt;'Check Rules'!$B$10),"Diastolic BP out of range",IF(G242&gt;=F242,"Diastolic &gt;= systolic","OK")))))))))</f>
        <v>OK</v>
      </c>
    </row>
    <row r="243" spans="1:9" x14ac:dyDescent="0.25">
      <c r="A243" s="10" t="s">
        <v>170</v>
      </c>
      <c r="B243" s="10" t="s">
        <v>75</v>
      </c>
      <c r="C243" s="10" t="s">
        <v>190</v>
      </c>
      <c r="D243" s="19">
        <v>46069</v>
      </c>
      <c r="E243" s="10">
        <v>66.5</v>
      </c>
      <c r="F243" s="10">
        <v>139</v>
      </c>
      <c r="G243" s="10">
        <v>73</v>
      </c>
      <c r="H243" s="10" t="s">
        <v>191</v>
      </c>
      <c r="I243" s="10" t="str">
        <f>IF(COUNTIF(Subjects!$A$2:$A$82,A243)=0,"Subject not in register",IF(D243&lt;INDEX(Subjects!$C$2:$C$82,MATCH(A243,Subjects!$A$2:$A$82,0)),"Visit before enrollment",IF(H243="Missed","Missed visit",IF(H243="Scheduled","OK",IF(E243="","Missing weight",IF(OR(E243&lt;'Check Rules'!$B$5,E243&gt;'Check Rules'!$B$6),"Weight out of range",IF(OR(F243&lt;'Check Rules'!$B$7,F243&gt;'Check Rules'!$B$8),"Systolic BP out of range",IF(OR(G243&lt;'Check Rules'!$B$9,G243&gt;'Check Rules'!$B$10),"Diastolic BP out of range",IF(G243&gt;=F243,"Diastolic &gt;= systolic","OK")))))))))</f>
        <v>OK</v>
      </c>
    </row>
    <row r="244" spans="1:9" x14ac:dyDescent="0.25">
      <c r="A244" s="10" t="s">
        <v>170</v>
      </c>
      <c r="B244" s="10" t="s">
        <v>75</v>
      </c>
      <c r="C244" s="10" t="s">
        <v>192</v>
      </c>
      <c r="D244" s="19">
        <v>46071</v>
      </c>
      <c r="E244" s="10">
        <v>66.599999999999994</v>
      </c>
      <c r="F244" s="10">
        <v>139</v>
      </c>
      <c r="G244" s="10">
        <v>69</v>
      </c>
      <c r="H244" s="10" t="s">
        <v>191</v>
      </c>
      <c r="I244" s="10" t="str">
        <f>IF(COUNTIF(Subjects!$A$2:$A$82,A244)=0,"Subject not in register",IF(D244&lt;INDEX(Subjects!$C$2:$C$82,MATCH(A244,Subjects!$A$2:$A$82,0)),"Visit before enrollment",IF(H244="Missed","Missed visit",IF(H244="Scheduled","OK",IF(E244="","Missing weight",IF(OR(E244&lt;'Check Rules'!$B$5,E244&gt;'Check Rules'!$B$6),"Weight out of range",IF(OR(F244&lt;'Check Rules'!$B$7,F244&gt;'Check Rules'!$B$8),"Systolic BP out of range",IF(OR(G244&lt;'Check Rules'!$B$9,G244&gt;'Check Rules'!$B$10),"Diastolic BP out of range",IF(G244&gt;=F244,"Diastolic &gt;= systolic","OK")))))))))</f>
        <v>OK</v>
      </c>
    </row>
    <row r="245" spans="1:9" x14ac:dyDescent="0.25">
      <c r="A245" s="10" t="s">
        <v>170</v>
      </c>
      <c r="B245" s="10" t="s">
        <v>75</v>
      </c>
      <c r="C245" s="10" t="s">
        <v>193</v>
      </c>
      <c r="D245" s="19">
        <v>46099</v>
      </c>
      <c r="E245" s="10">
        <v>66.2</v>
      </c>
      <c r="F245" s="10">
        <v>143</v>
      </c>
      <c r="G245" s="10">
        <v>69</v>
      </c>
      <c r="H245" s="10" t="s">
        <v>191</v>
      </c>
      <c r="I245" s="10" t="str">
        <f>IF(COUNTIF(Subjects!$A$2:$A$82,A245)=0,"Subject not in register",IF(D245&lt;INDEX(Subjects!$C$2:$C$82,MATCH(A245,Subjects!$A$2:$A$82,0)),"Visit before enrollment",IF(H245="Missed","Missed visit",IF(H245="Scheduled","OK",IF(E245="","Missing weight",IF(OR(E245&lt;'Check Rules'!$B$5,E245&gt;'Check Rules'!$B$6),"Weight out of range",IF(OR(F245&lt;'Check Rules'!$B$7,F245&gt;'Check Rules'!$B$8),"Systolic BP out of range",IF(OR(G245&lt;'Check Rules'!$B$9,G245&gt;'Check Rules'!$B$10),"Diastolic BP out of range",IF(G245&gt;=F245,"Diastolic &gt;= systolic","OK")))))))))</f>
        <v>OK</v>
      </c>
    </row>
    <row r="246" spans="1:9" x14ac:dyDescent="0.25">
      <c r="A246" s="10" t="s">
        <v>170</v>
      </c>
      <c r="B246" s="10" t="s">
        <v>75</v>
      </c>
      <c r="C246" s="10" t="s">
        <v>194</v>
      </c>
      <c r="D246" s="19">
        <v>46127</v>
      </c>
      <c r="E246" s="10">
        <v>67.2</v>
      </c>
      <c r="F246" s="10">
        <v>149</v>
      </c>
      <c r="G246" s="10">
        <v>72</v>
      </c>
      <c r="H246" s="10" t="s">
        <v>191</v>
      </c>
      <c r="I246" s="10" t="str">
        <f>IF(COUNTIF(Subjects!$A$2:$A$82,A246)=0,"Subject not in register",IF(D246&lt;INDEX(Subjects!$C$2:$C$82,MATCH(A246,Subjects!$A$2:$A$82,0)),"Visit before enrollment",IF(H246="Missed","Missed visit",IF(H246="Scheduled","OK",IF(E246="","Missing weight",IF(OR(E246&lt;'Check Rules'!$B$5,E246&gt;'Check Rules'!$B$6),"Weight out of range",IF(OR(F246&lt;'Check Rules'!$B$7,F246&gt;'Check Rules'!$B$8),"Systolic BP out of range",IF(OR(G246&lt;'Check Rules'!$B$9,G246&gt;'Check Rules'!$B$10),"Diastolic BP out of range",IF(G246&gt;=F246,"Diastolic &gt;= systolic","OK")))))))))</f>
        <v>OK</v>
      </c>
    </row>
    <row r="247" spans="1:9" x14ac:dyDescent="0.25">
      <c r="A247" s="10" t="s">
        <v>171</v>
      </c>
      <c r="B247" s="10" t="s">
        <v>75</v>
      </c>
      <c r="C247" s="10" t="s">
        <v>190</v>
      </c>
      <c r="D247" s="19">
        <v>46042</v>
      </c>
      <c r="E247" s="10">
        <v>84.2</v>
      </c>
      <c r="F247" s="10">
        <v>139</v>
      </c>
      <c r="G247" s="10">
        <v>88</v>
      </c>
      <c r="H247" s="10" t="s">
        <v>191</v>
      </c>
      <c r="I247" s="10" t="str">
        <f>IF(COUNTIF(Subjects!$A$2:$A$82,A247)=0,"Subject not in register",IF(D247&lt;INDEX(Subjects!$C$2:$C$82,MATCH(A247,Subjects!$A$2:$A$82,0)),"Visit before enrollment",IF(H247="Missed","Missed visit",IF(H247="Scheduled","OK",IF(E247="","Missing weight",IF(OR(E247&lt;'Check Rules'!$B$5,E247&gt;'Check Rules'!$B$6),"Weight out of range",IF(OR(F247&lt;'Check Rules'!$B$7,F247&gt;'Check Rules'!$B$8),"Systolic BP out of range",IF(OR(G247&lt;'Check Rules'!$B$9,G247&gt;'Check Rules'!$B$10),"Diastolic BP out of range",IF(G247&gt;=F247,"Diastolic &gt;= systolic","OK")))))))))</f>
        <v>OK</v>
      </c>
    </row>
    <row r="248" spans="1:9" x14ac:dyDescent="0.25">
      <c r="A248" s="10" t="s">
        <v>171</v>
      </c>
      <c r="B248" s="10" t="s">
        <v>75</v>
      </c>
      <c r="C248" s="10" t="s">
        <v>192</v>
      </c>
      <c r="D248" s="19">
        <v>46044</v>
      </c>
      <c r="E248" s="10">
        <v>82.1</v>
      </c>
      <c r="F248" s="10">
        <v>126</v>
      </c>
      <c r="G248" s="10">
        <v>89</v>
      </c>
      <c r="H248" s="10" t="s">
        <v>191</v>
      </c>
      <c r="I248" s="10" t="str">
        <f>IF(COUNTIF(Subjects!$A$2:$A$82,A248)=0,"Subject not in register",IF(D248&lt;INDEX(Subjects!$C$2:$C$82,MATCH(A248,Subjects!$A$2:$A$82,0)),"Visit before enrollment",IF(H248="Missed","Missed visit",IF(H248="Scheduled","OK",IF(E248="","Missing weight",IF(OR(E248&lt;'Check Rules'!$B$5,E248&gt;'Check Rules'!$B$6),"Weight out of range",IF(OR(F248&lt;'Check Rules'!$B$7,F248&gt;'Check Rules'!$B$8),"Systolic BP out of range",IF(OR(G248&lt;'Check Rules'!$B$9,G248&gt;'Check Rules'!$B$10),"Diastolic BP out of range",IF(G248&gt;=F248,"Diastolic &gt;= systolic","OK")))))))))</f>
        <v>OK</v>
      </c>
    </row>
    <row r="249" spans="1:9" x14ac:dyDescent="0.25">
      <c r="A249" s="10" t="s">
        <v>172</v>
      </c>
      <c r="B249" s="10" t="s">
        <v>74</v>
      </c>
      <c r="C249" s="10" t="s">
        <v>190</v>
      </c>
      <c r="D249" s="19">
        <v>46038</v>
      </c>
      <c r="E249" s="10">
        <v>93</v>
      </c>
      <c r="F249" s="10">
        <v>153</v>
      </c>
      <c r="G249" s="10">
        <v>79</v>
      </c>
      <c r="H249" s="10" t="s">
        <v>191</v>
      </c>
      <c r="I249" s="10" t="str">
        <f>IF(COUNTIF(Subjects!$A$2:$A$82,A249)=0,"Subject not in register",IF(D249&lt;INDEX(Subjects!$C$2:$C$82,MATCH(A249,Subjects!$A$2:$A$82,0)),"Visit before enrollment",IF(H249="Missed","Missed visit",IF(H249="Scheduled","OK",IF(E249="","Missing weight",IF(OR(E249&lt;'Check Rules'!$B$5,E249&gt;'Check Rules'!$B$6),"Weight out of range",IF(OR(F249&lt;'Check Rules'!$B$7,F249&gt;'Check Rules'!$B$8),"Systolic BP out of range",IF(OR(G249&lt;'Check Rules'!$B$9,G249&gt;'Check Rules'!$B$10),"Diastolic BP out of range",IF(G249&gt;=F249,"Diastolic &gt;= systolic","OK")))))))))</f>
        <v>OK</v>
      </c>
    </row>
    <row r="250" spans="1:9" x14ac:dyDescent="0.25">
      <c r="A250" s="10" t="s">
        <v>172</v>
      </c>
      <c r="B250" s="10" t="s">
        <v>74</v>
      </c>
      <c r="C250" s="10" t="s">
        <v>192</v>
      </c>
      <c r="D250" s="19">
        <v>46040</v>
      </c>
      <c r="E250" s="10">
        <v>95.2</v>
      </c>
      <c r="F250" s="10">
        <v>137</v>
      </c>
      <c r="G250" s="10">
        <v>75</v>
      </c>
      <c r="H250" s="10" t="s">
        <v>191</v>
      </c>
      <c r="I250" s="10" t="str">
        <f>IF(COUNTIF(Subjects!$A$2:$A$82,A250)=0,"Subject not in register",IF(D250&lt;INDEX(Subjects!$C$2:$C$82,MATCH(A250,Subjects!$A$2:$A$82,0)),"Visit before enrollment",IF(H250="Missed","Missed visit",IF(H250="Scheduled","OK",IF(E250="","Missing weight",IF(OR(E250&lt;'Check Rules'!$B$5,E250&gt;'Check Rules'!$B$6),"Weight out of range",IF(OR(F250&lt;'Check Rules'!$B$7,F250&gt;'Check Rules'!$B$8),"Systolic BP out of range",IF(OR(G250&lt;'Check Rules'!$B$9,G250&gt;'Check Rules'!$B$10),"Diastolic BP out of range",IF(G250&gt;=F250,"Diastolic &gt;= systolic","OK")))))))))</f>
        <v>OK</v>
      </c>
    </row>
    <row r="251" spans="1:9" x14ac:dyDescent="0.25">
      <c r="A251" s="10" t="s">
        <v>172</v>
      </c>
      <c r="B251" s="10" t="s">
        <v>74</v>
      </c>
      <c r="C251" s="10" t="s">
        <v>193</v>
      </c>
      <c r="D251" s="19">
        <v>46068</v>
      </c>
      <c r="E251" s="10">
        <v>94.9</v>
      </c>
      <c r="F251" s="10">
        <v>147</v>
      </c>
      <c r="G251" s="10">
        <v>72</v>
      </c>
      <c r="H251" s="10" t="s">
        <v>191</v>
      </c>
      <c r="I251" s="10" t="str">
        <f>IF(COUNTIF(Subjects!$A$2:$A$82,A251)=0,"Subject not in register",IF(D251&lt;INDEX(Subjects!$C$2:$C$82,MATCH(A251,Subjects!$A$2:$A$82,0)),"Visit before enrollment",IF(H251="Missed","Missed visit",IF(H251="Scheduled","OK",IF(E251="","Missing weight",IF(OR(E251&lt;'Check Rules'!$B$5,E251&gt;'Check Rules'!$B$6),"Weight out of range",IF(OR(F251&lt;'Check Rules'!$B$7,F251&gt;'Check Rules'!$B$8),"Systolic BP out of range",IF(OR(G251&lt;'Check Rules'!$B$9,G251&gt;'Check Rules'!$B$10),"Diastolic BP out of range",IF(G251&gt;=F251,"Diastolic &gt;= systolic","OK")))))))))</f>
        <v>OK</v>
      </c>
    </row>
    <row r="252" spans="1:9" x14ac:dyDescent="0.25">
      <c r="A252" s="10" t="s">
        <v>172</v>
      </c>
      <c r="B252" s="10" t="s">
        <v>74</v>
      </c>
      <c r="C252" s="10" t="s">
        <v>194</v>
      </c>
      <c r="D252" s="19">
        <v>46096</v>
      </c>
      <c r="E252" s="10">
        <v>95.4</v>
      </c>
      <c r="F252" s="10">
        <v>146</v>
      </c>
      <c r="G252" s="10">
        <v>72</v>
      </c>
      <c r="H252" s="10" t="s">
        <v>191</v>
      </c>
      <c r="I252" s="10" t="str">
        <f>IF(COUNTIF(Subjects!$A$2:$A$82,A252)=0,"Subject not in register",IF(D252&lt;INDEX(Subjects!$C$2:$C$82,MATCH(A252,Subjects!$A$2:$A$82,0)),"Visit before enrollment",IF(H252="Missed","Missed visit",IF(H252="Scheduled","OK",IF(E252="","Missing weight",IF(OR(E252&lt;'Check Rules'!$B$5,E252&gt;'Check Rules'!$B$6),"Weight out of range",IF(OR(F252&lt;'Check Rules'!$B$7,F252&gt;'Check Rules'!$B$8),"Systolic BP out of range",IF(OR(G252&lt;'Check Rules'!$B$9,G252&gt;'Check Rules'!$B$10),"Diastolic BP out of range",IF(G252&gt;=F252,"Diastolic &gt;= systolic","OK")))))))))</f>
        <v>OK</v>
      </c>
    </row>
    <row r="253" spans="1:9" x14ac:dyDescent="0.25">
      <c r="A253" s="10" t="s">
        <v>173</v>
      </c>
      <c r="B253" s="10" t="s">
        <v>75</v>
      </c>
      <c r="C253" s="10" t="s">
        <v>190</v>
      </c>
      <c r="D253" s="19">
        <v>46044</v>
      </c>
      <c r="E253" s="10">
        <v>50.9</v>
      </c>
      <c r="F253" s="10">
        <v>121</v>
      </c>
      <c r="G253" s="10">
        <v>75</v>
      </c>
      <c r="H253" s="10" t="s">
        <v>191</v>
      </c>
      <c r="I253" s="10" t="str">
        <f>IF(COUNTIF(Subjects!$A$2:$A$82,A253)=0,"Subject not in register",IF(D253&lt;INDEX(Subjects!$C$2:$C$82,MATCH(A253,Subjects!$A$2:$A$82,0)),"Visit before enrollment",IF(H253="Missed","Missed visit",IF(H253="Scheduled","OK",IF(E253="","Missing weight",IF(OR(E253&lt;'Check Rules'!$B$5,E253&gt;'Check Rules'!$B$6),"Weight out of range",IF(OR(F253&lt;'Check Rules'!$B$7,F253&gt;'Check Rules'!$B$8),"Systolic BP out of range",IF(OR(G253&lt;'Check Rules'!$B$9,G253&gt;'Check Rules'!$B$10),"Diastolic BP out of range",IF(G253&gt;=F253,"Diastolic &gt;= systolic","OK")))))))))</f>
        <v>OK</v>
      </c>
    </row>
    <row r="254" spans="1:9" x14ac:dyDescent="0.25">
      <c r="A254" s="10" t="s">
        <v>173</v>
      </c>
      <c r="B254" s="10" t="s">
        <v>75</v>
      </c>
      <c r="C254" s="10" t="s">
        <v>192</v>
      </c>
      <c r="D254" s="19">
        <v>46046</v>
      </c>
      <c r="E254" s="10">
        <v>51</v>
      </c>
      <c r="F254" s="10">
        <v>141</v>
      </c>
      <c r="G254" s="10">
        <v>72</v>
      </c>
      <c r="H254" s="10" t="s">
        <v>191</v>
      </c>
      <c r="I254" s="10" t="str">
        <f>IF(COUNTIF(Subjects!$A$2:$A$82,A254)=0,"Subject not in register",IF(D254&lt;INDEX(Subjects!$C$2:$C$82,MATCH(A254,Subjects!$A$2:$A$82,0)),"Visit before enrollment",IF(H254="Missed","Missed visit",IF(H254="Scheduled","OK",IF(E254="","Missing weight",IF(OR(E254&lt;'Check Rules'!$B$5,E254&gt;'Check Rules'!$B$6),"Weight out of range",IF(OR(F254&lt;'Check Rules'!$B$7,F254&gt;'Check Rules'!$B$8),"Systolic BP out of range",IF(OR(G254&lt;'Check Rules'!$B$9,G254&gt;'Check Rules'!$B$10),"Diastolic BP out of range",IF(G254&gt;=F254,"Diastolic &gt;= systolic","OK")))))))))</f>
        <v>OK</v>
      </c>
    </row>
    <row r="255" spans="1:9" x14ac:dyDescent="0.25">
      <c r="A255" s="10" t="s">
        <v>173</v>
      </c>
      <c r="B255" s="10" t="s">
        <v>75</v>
      </c>
      <c r="C255" s="10" t="s">
        <v>193</v>
      </c>
      <c r="D255" s="19">
        <v>46074</v>
      </c>
      <c r="E255" s="10">
        <v>51</v>
      </c>
      <c r="F255" s="10">
        <v>137</v>
      </c>
      <c r="G255" s="10">
        <v>69</v>
      </c>
      <c r="H255" s="10" t="s">
        <v>191</v>
      </c>
      <c r="I255" s="10" t="str">
        <f>IF(COUNTIF(Subjects!$A$2:$A$82,A255)=0,"Subject not in register",IF(D255&lt;INDEX(Subjects!$C$2:$C$82,MATCH(A255,Subjects!$A$2:$A$82,0)),"Visit before enrollment",IF(H255="Missed","Missed visit",IF(H255="Scheduled","OK",IF(E255="","Missing weight",IF(OR(E255&lt;'Check Rules'!$B$5,E255&gt;'Check Rules'!$B$6),"Weight out of range",IF(OR(F255&lt;'Check Rules'!$B$7,F255&gt;'Check Rules'!$B$8),"Systolic BP out of range",IF(OR(G255&lt;'Check Rules'!$B$9,G255&gt;'Check Rules'!$B$10),"Diastolic BP out of range",IF(G255&gt;=F255,"Diastolic &gt;= systolic","OK")))))))))</f>
        <v>OK</v>
      </c>
    </row>
    <row r="256" spans="1:9" x14ac:dyDescent="0.25">
      <c r="A256" s="10" t="s">
        <v>173</v>
      </c>
      <c r="B256" s="10" t="s">
        <v>75</v>
      </c>
      <c r="C256" s="10" t="s">
        <v>194</v>
      </c>
      <c r="D256" s="19">
        <v>46102</v>
      </c>
      <c r="E256" s="10">
        <v>52.1</v>
      </c>
      <c r="F256" s="10">
        <v>126</v>
      </c>
      <c r="G256" s="10">
        <v>73</v>
      </c>
      <c r="H256" s="10" t="s">
        <v>191</v>
      </c>
      <c r="I256" s="10" t="str">
        <f>IF(COUNTIF(Subjects!$A$2:$A$82,A256)=0,"Subject not in register",IF(D256&lt;INDEX(Subjects!$C$2:$C$82,MATCH(A256,Subjects!$A$2:$A$82,0)),"Visit before enrollment",IF(H256="Missed","Missed visit",IF(H256="Scheduled","OK",IF(E256="","Missing weight",IF(OR(E256&lt;'Check Rules'!$B$5,E256&gt;'Check Rules'!$B$6),"Weight out of range",IF(OR(F256&lt;'Check Rules'!$B$7,F256&gt;'Check Rules'!$B$8),"Systolic BP out of range",IF(OR(G256&lt;'Check Rules'!$B$9,G256&gt;'Check Rules'!$B$10),"Diastolic BP out of range",IF(G256&gt;=F256,"Diastolic &gt;= systolic","OK")))))))))</f>
        <v>OK</v>
      </c>
    </row>
    <row r="257" spans="1:9" x14ac:dyDescent="0.25">
      <c r="A257" s="10" t="s">
        <v>173</v>
      </c>
      <c r="B257" s="10" t="s">
        <v>75</v>
      </c>
      <c r="C257" s="10" t="s">
        <v>195</v>
      </c>
      <c r="D257" s="19">
        <v>46130</v>
      </c>
      <c r="E257" s="10">
        <v>52.6</v>
      </c>
      <c r="F257" s="10">
        <v>141</v>
      </c>
      <c r="G257" s="10">
        <v>72</v>
      </c>
      <c r="H257" s="10" t="s">
        <v>191</v>
      </c>
      <c r="I257" s="10" t="str">
        <f>IF(COUNTIF(Subjects!$A$2:$A$82,A257)=0,"Subject not in register",IF(D257&lt;INDEX(Subjects!$C$2:$C$82,MATCH(A257,Subjects!$A$2:$A$82,0)),"Visit before enrollment",IF(H257="Missed","Missed visit",IF(H257="Scheduled","OK",IF(E257="","Missing weight",IF(OR(E257&lt;'Check Rules'!$B$5,E257&gt;'Check Rules'!$B$6),"Weight out of range",IF(OR(F257&lt;'Check Rules'!$B$7,F257&gt;'Check Rules'!$B$8),"Systolic BP out of range",IF(OR(G257&lt;'Check Rules'!$B$9,G257&gt;'Check Rules'!$B$10),"Diastolic BP out of range",IF(G257&gt;=F257,"Diastolic &gt;= systolic","OK")))))))))</f>
        <v>OK</v>
      </c>
    </row>
    <row r="258" spans="1:9" x14ac:dyDescent="0.25">
      <c r="A258" s="10" t="s">
        <v>174</v>
      </c>
      <c r="B258" s="10" t="s">
        <v>77</v>
      </c>
      <c r="C258" s="10" t="s">
        <v>190</v>
      </c>
      <c r="D258" s="19">
        <v>46041</v>
      </c>
      <c r="E258" s="10">
        <v>72.3</v>
      </c>
      <c r="F258" s="10">
        <v>135</v>
      </c>
      <c r="G258" s="10">
        <v>68</v>
      </c>
      <c r="H258" s="10" t="s">
        <v>191</v>
      </c>
      <c r="I258" s="10" t="str">
        <f>IF(COUNTIF(Subjects!$A$2:$A$82,A258)=0,"Subject not in register",IF(D258&lt;INDEX(Subjects!$C$2:$C$82,MATCH(A258,Subjects!$A$2:$A$82,0)),"Visit before enrollment",IF(H258="Missed","Missed visit",IF(H258="Scheduled","OK",IF(E258="","Missing weight",IF(OR(E258&lt;'Check Rules'!$B$5,E258&gt;'Check Rules'!$B$6),"Weight out of range",IF(OR(F258&lt;'Check Rules'!$B$7,F258&gt;'Check Rules'!$B$8),"Systolic BP out of range",IF(OR(G258&lt;'Check Rules'!$B$9,G258&gt;'Check Rules'!$B$10),"Diastolic BP out of range",IF(G258&gt;=F258,"Diastolic &gt;= systolic","OK")))))))))</f>
        <v>OK</v>
      </c>
    </row>
    <row r="259" spans="1:9" x14ac:dyDescent="0.25">
      <c r="A259" s="10" t="s">
        <v>174</v>
      </c>
      <c r="B259" s="10" t="s">
        <v>77</v>
      </c>
      <c r="C259" s="10" t="s">
        <v>192</v>
      </c>
      <c r="D259" s="19">
        <v>46043</v>
      </c>
      <c r="E259" s="10">
        <v>71.7</v>
      </c>
      <c r="F259" s="10">
        <v>142</v>
      </c>
      <c r="G259" s="10">
        <v>67</v>
      </c>
      <c r="H259" s="10" t="s">
        <v>191</v>
      </c>
      <c r="I259" s="10" t="str">
        <f>IF(COUNTIF(Subjects!$A$2:$A$82,A259)=0,"Subject not in register",IF(D259&lt;INDEX(Subjects!$C$2:$C$82,MATCH(A259,Subjects!$A$2:$A$82,0)),"Visit before enrollment",IF(H259="Missed","Missed visit",IF(H259="Scheduled","OK",IF(E259="","Missing weight",IF(OR(E259&lt;'Check Rules'!$B$5,E259&gt;'Check Rules'!$B$6),"Weight out of range",IF(OR(F259&lt;'Check Rules'!$B$7,F259&gt;'Check Rules'!$B$8),"Systolic BP out of range",IF(OR(G259&lt;'Check Rules'!$B$9,G259&gt;'Check Rules'!$B$10),"Diastolic BP out of range",IF(G259&gt;=F259,"Diastolic &gt;= systolic","OK")))))))))</f>
        <v>OK</v>
      </c>
    </row>
    <row r="260" spans="1:9" x14ac:dyDescent="0.25">
      <c r="A260" s="10" t="s">
        <v>175</v>
      </c>
      <c r="B260" s="10" t="s">
        <v>75</v>
      </c>
      <c r="C260" s="10" t="s">
        <v>190</v>
      </c>
      <c r="D260" s="19">
        <v>46041</v>
      </c>
      <c r="E260" s="10">
        <v>47.3</v>
      </c>
      <c r="F260" s="10">
        <v>128</v>
      </c>
      <c r="G260" s="10">
        <v>81</v>
      </c>
      <c r="H260" s="10" t="s">
        <v>191</v>
      </c>
      <c r="I260" s="10" t="str">
        <f>IF(COUNTIF(Subjects!$A$2:$A$82,A260)=0,"Subject not in register",IF(D260&lt;INDEX(Subjects!$C$2:$C$82,MATCH(A260,Subjects!$A$2:$A$82,0)),"Visit before enrollment",IF(H260="Missed","Missed visit",IF(H260="Scheduled","OK",IF(E260="","Missing weight",IF(OR(E260&lt;'Check Rules'!$B$5,E260&gt;'Check Rules'!$B$6),"Weight out of range",IF(OR(F260&lt;'Check Rules'!$B$7,F260&gt;'Check Rules'!$B$8),"Systolic BP out of range",IF(OR(G260&lt;'Check Rules'!$B$9,G260&gt;'Check Rules'!$B$10),"Diastolic BP out of range",IF(G260&gt;=F260,"Diastolic &gt;= systolic","OK")))))))))</f>
        <v>OK</v>
      </c>
    </row>
    <row r="261" spans="1:9" x14ac:dyDescent="0.25">
      <c r="A261" s="10" t="s">
        <v>175</v>
      </c>
      <c r="B261" s="10" t="s">
        <v>75</v>
      </c>
      <c r="C261" s="10" t="s">
        <v>192</v>
      </c>
      <c r="D261" s="19">
        <v>46043</v>
      </c>
      <c r="E261" s="10">
        <v>48.4</v>
      </c>
      <c r="F261" s="10">
        <v>135</v>
      </c>
      <c r="G261" s="10">
        <v>79</v>
      </c>
      <c r="H261" s="10" t="s">
        <v>191</v>
      </c>
      <c r="I261" s="10" t="str">
        <f>IF(COUNTIF(Subjects!$A$2:$A$82,A261)=0,"Subject not in register",IF(D261&lt;INDEX(Subjects!$C$2:$C$82,MATCH(A261,Subjects!$A$2:$A$82,0)),"Visit before enrollment",IF(H261="Missed","Missed visit",IF(H261="Scheduled","OK",IF(E261="","Missing weight",IF(OR(E261&lt;'Check Rules'!$B$5,E261&gt;'Check Rules'!$B$6),"Weight out of range",IF(OR(F261&lt;'Check Rules'!$B$7,F261&gt;'Check Rules'!$B$8),"Systolic BP out of range",IF(OR(G261&lt;'Check Rules'!$B$9,G261&gt;'Check Rules'!$B$10),"Diastolic BP out of range",IF(G261&gt;=F261,"Diastolic &gt;= systolic","OK")))))))))</f>
        <v>OK</v>
      </c>
    </row>
    <row r="262" spans="1:9" x14ac:dyDescent="0.25">
      <c r="A262" s="10" t="s">
        <v>175</v>
      </c>
      <c r="B262" s="10" t="s">
        <v>75</v>
      </c>
      <c r="C262" s="10" t="s">
        <v>193</v>
      </c>
      <c r="D262" s="19">
        <v>46071</v>
      </c>
      <c r="E262" s="10">
        <v>48.3</v>
      </c>
      <c r="F262" s="10">
        <v>124</v>
      </c>
      <c r="G262" s="10">
        <v>82</v>
      </c>
      <c r="H262" s="10" t="s">
        <v>191</v>
      </c>
      <c r="I262" s="10" t="str">
        <f>IF(COUNTIF(Subjects!$A$2:$A$82,A262)=0,"Subject not in register",IF(D262&lt;INDEX(Subjects!$C$2:$C$82,MATCH(A262,Subjects!$A$2:$A$82,0)),"Visit before enrollment",IF(H262="Missed","Missed visit",IF(H262="Scheduled","OK",IF(E262="","Missing weight",IF(OR(E262&lt;'Check Rules'!$B$5,E262&gt;'Check Rules'!$B$6),"Weight out of range",IF(OR(F262&lt;'Check Rules'!$B$7,F262&gt;'Check Rules'!$B$8),"Systolic BP out of range",IF(OR(G262&lt;'Check Rules'!$B$9,G262&gt;'Check Rules'!$B$10),"Diastolic BP out of range",IF(G262&gt;=F262,"Diastolic &gt;= systolic","OK")))))))))</f>
        <v>OK</v>
      </c>
    </row>
    <row r="263" spans="1:9" x14ac:dyDescent="0.25">
      <c r="A263" s="10" t="s">
        <v>176</v>
      </c>
      <c r="B263" s="10" t="s">
        <v>76</v>
      </c>
      <c r="C263" s="10" t="s">
        <v>190</v>
      </c>
      <c r="D263" s="19">
        <v>46031</v>
      </c>
      <c r="E263" s="10">
        <v>69.3</v>
      </c>
      <c r="F263" s="10">
        <v>124</v>
      </c>
      <c r="G263" s="10">
        <v>82</v>
      </c>
      <c r="H263" s="10" t="s">
        <v>191</v>
      </c>
      <c r="I263" s="10" t="str">
        <f>IF(COUNTIF(Subjects!$A$2:$A$82,A263)=0,"Subject not in register",IF(D263&lt;INDEX(Subjects!$C$2:$C$82,MATCH(A263,Subjects!$A$2:$A$82,0)),"Visit before enrollment",IF(H263="Missed","Missed visit",IF(H263="Scheduled","OK",IF(E263="","Missing weight",IF(OR(E263&lt;'Check Rules'!$B$5,E263&gt;'Check Rules'!$B$6),"Weight out of range",IF(OR(F263&lt;'Check Rules'!$B$7,F263&gt;'Check Rules'!$B$8),"Systolic BP out of range",IF(OR(G263&lt;'Check Rules'!$B$9,G263&gt;'Check Rules'!$B$10),"Diastolic BP out of range",IF(G263&gt;=F263,"Diastolic &gt;= systolic","OK")))))))))</f>
        <v>OK</v>
      </c>
    </row>
    <row r="264" spans="1:9" x14ac:dyDescent="0.25">
      <c r="A264" s="10" t="s">
        <v>176</v>
      </c>
      <c r="B264" s="10" t="s">
        <v>76</v>
      </c>
      <c r="C264" s="10" t="s">
        <v>192</v>
      </c>
      <c r="D264" s="19">
        <v>46033</v>
      </c>
      <c r="E264" s="10">
        <v>68.5</v>
      </c>
      <c r="F264" s="10">
        <v>137</v>
      </c>
      <c r="G264" s="10">
        <v>78</v>
      </c>
      <c r="H264" s="10" t="s">
        <v>191</v>
      </c>
      <c r="I264" s="10" t="str">
        <f>IF(COUNTIF(Subjects!$A$2:$A$82,A264)=0,"Subject not in register",IF(D264&lt;INDEX(Subjects!$C$2:$C$82,MATCH(A264,Subjects!$A$2:$A$82,0)),"Visit before enrollment",IF(H264="Missed","Missed visit",IF(H264="Scheduled","OK",IF(E264="","Missing weight",IF(OR(E264&lt;'Check Rules'!$B$5,E264&gt;'Check Rules'!$B$6),"Weight out of range",IF(OR(F264&lt;'Check Rules'!$B$7,F264&gt;'Check Rules'!$B$8),"Systolic BP out of range",IF(OR(G264&lt;'Check Rules'!$B$9,G264&gt;'Check Rules'!$B$10),"Diastolic BP out of range",IF(G264&gt;=F264,"Diastolic &gt;= systolic","OK")))))))))</f>
        <v>OK</v>
      </c>
    </row>
    <row r="265" spans="1:9" x14ac:dyDescent="0.25">
      <c r="A265" s="10" t="s">
        <v>176</v>
      </c>
      <c r="B265" s="10" t="s">
        <v>76</v>
      </c>
      <c r="C265" s="10" t="s">
        <v>193</v>
      </c>
      <c r="D265" s="19">
        <v>46061</v>
      </c>
      <c r="E265" s="10">
        <v>69.099999999999994</v>
      </c>
      <c r="F265" s="10">
        <v>124</v>
      </c>
      <c r="G265" s="10">
        <v>76</v>
      </c>
      <c r="H265" s="10" t="s">
        <v>191</v>
      </c>
      <c r="I265" s="10" t="str">
        <f>IF(COUNTIF(Subjects!$A$2:$A$82,A265)=0,"Subject not in register",IF(D265&lt;INDEX(Subjects!$C$2:$C$82,MATCH(A265,Subjects!$A$2:$A$82,0)),"Visit before enrollment",IF(H265="Missed","Missed visit",IF(H265="Scheduled","OK",IF(E265="","Missing weight",IF(OR(E265&lt;'Check Rules'!$B$5,E265&gt;'Check Rules'!$B$6),"Weight out of range",IF(OR(F265&lt;'Check Rules'!$B$7,F265&gt;'Check Rules'!$B$8),"Systolic BP out of range",IF(OR(G265&lt;'Check Rules'!$B$9,G265&gt;'Check Rules'!$B$10),"Diastolic BP out of range",IF(G265&gt;=F265,"Diastolic &gt;= systolic","OK")))))))))</f>
        <v>OK</v>
      </c>
    </row>
    <row r="266" spans="1:9" x14ac:dyDescent="0.25">
      <c r="A266" s="10" t="s">
        <v>177</v>
      </c>
      <c r="B266" s="10" t="s">
        <v>78</v>
      </c>
      <c r="C266" s="10" t="s">
        <v>190</v>
      </c>
      <c r="D266" s="19">
        <v>46052</v>
      </c>
      <c r="E266" s="10">
        <v>52.4</v>
      </c>
      <c r="F266" s="10">
        <v>124</v>
      </c>
      <c r="G266" s="10">
        <v>72</v>
      </c>
      <c r="H266" s="10" t="s">
        <v>191</v>
      </c>
      <c r="I266" s="10" t="str">
        <f>IF(COUNTIF(Subjects!$A$2:$A$82,A266)=0,"Subject not in register",IF(D266&lt;INDEX(Subjects!$C$2:$C$82,MATCH(A266,Subjects!$A$2:$A$82,0)),"Visit before enrollment",IF(H266="Missed","Missed visit",IF(H266="Scheduled","OK",IF(E266="","Missing weight",IF(OR(E266&lt;'Check Rules'!$B$5,E266&gt;'Check Rules'!$B$6),"Weight out of range",IF(OR(F266&lt;'Check Rules'!$B$7,F266&gt;'Check Rules'!$B$8),"Systolic BP out of range",IF(OR(G266&lt;'Check Rules'!$B$9,G266&gt;'Check Rules'!$B$10),"Diastolic BP out of range",IF(G266&gt;=F266,"Diastolic &gt;= systolic","OK")))))))))</f>
        <v>OK</v>
      </c>
    </row>
    <row r="267" spans="1:9" x14ac:dyDescent="0.25">
      <c r="A267" s="10" t="s">
        <v>177</v>
      </c>
      <c r="B267" s="10" t="s">
        <v>78</v>
      </c>
      <c r="C267" s="10" t="s">
        <v>192</v>
      </c>
      <c r="D267" s="19">
        <v>46054</v>
      </c>
      <c r="E267" s="10">
        <v>54.1</v>
      </c>
      <c r="F267" s="10">
        <v>123</v>
      </c>
      <c r="G267" s="10">
        <v>64</v>
      </c>
      <c r="H267" s="10" t="s">
        <v>191</v>
      </c>
      <c r="I267" s="10" t="str">
        <f>IF(COUNTIF(Subjects!$A$2:$A$82,A267)=0,"Subject not in register",IF(D267&lt;INDEX(Subjects!$C$2:$C$82,MATCH(A267,Subjects!$A$2:$A$82,0)),"Visit before enrollment",IF(H267="Missed","Missed visit",IF(H267="Scheduled","OK",IF(E267="","Missing weight",IF(OR(E267&lt;'Check Rules'!$B$5,E267&gt;'Check Rules'!$B$6),"Weight out of range",IF(OR(F267&lt;'Check Rules'!$B$7,F267&gt;'Check Rules'!$B$8),"Systolic BP out of range",IF(OR(G267&lt;'Check Rules'!$B$9,G267&gt;'Check Rules'!$B$10),"Diastolic BP out of range",IF(G267&gt;=F267,"Diastolic &gt;= systolic","OK")))))))))</f>
        <v>OK</v>
      </c>
    </row>
    <row r="268" spans="1:9" x14ac:dyDescent="0.25">
      <c r="A268" s="10" t="s">
        <v>177</v>
      </c>
      <c r="B268" s="10" t="s">
        <v>78</v>
      </c>
      <c r="C268" s="10" t="s">
        <v>193</v>
      </c>
      <c r="D268" s="19">
        <v>46082</v>
      </c>
      <c r="E268" s="10">
        <v>53.7</v>
      </c>
      <c r="F268" s="10">
        <v>120</v>
      </c>
      <c r="G268" s="10">
        <v>70</v>
      </c>
      <c r="H268" s="10" t="s">
        <v>191</v>
      </c>
      <c r="I268" s="10" t="str">
        <f>IF(COUNTIF(Subjects!$A$2:$A$82,A268)=0,"Subject not in register",IF(D268&lt;INDEX(Subjects!$C$2:$C$82,MATCH(A268,Subjects!$A$2:$A$82,0)),"Visit before enrollment",IF(H268="Missed","Missed visit",IF(H268="Scheduled","OK",IF(E268="","Missing weight",IF(OR(E268&lt;'Check Rules'!$B$5,E268&gt;'Check Rules'!$B$6),"Weight out of range",IF(OR(F268&lt;'Check Rules'!$B$7,F268&gt;'Check Rules'!$B$8),"Systolic BP out of range",IF(OR(G268&lt;'Check Rules'!$B$9,G268&gt;'Check Rules'!$B$10),"Diastolic BP out of range",IF(G268&gt;=F268,"Diastolic &gt;= systolic","OK")))))))))</f>
        <v>OK</v>
      </c>
    </row>
    <row r="269" spans="1:9" x14ac:dyDescent="0.25">
      <c r="A269" s="10" t="s">
        <v>177</v>
      </c>
      <c r="B269" s="10" t="s">
        <v>78</v>
      </c>
      <c r="C269" s="10" t="s">
        <v>194</v>
      </c>
      <c r="D269" s="19">
        <v>46110</v>
      </c>
      <c r="E269" s="10">
        <v>52.4</v>
      </c>
      <c r="F269" s="10">
        <v>126</v>
      </c>
      <c r="G269" s="10">
        <v>67</v>
      </c>
      <c r="H269" s="10" t="s">
        <v>191</v>
      </c>
      <c r="I269" s="10" t="str">
        <f>IF(COUNTIF(Subjects!$A$2:$A$82,A269)=0,"Subject not in register",IF(D269&lt;INDEX(Subjects!$C$2:$C$82,MATCH(A269,Subjects!$A$2:$A$82,0)),"Visit before enrollment",IF(H269="Missed","Missed visit",IF(H269="Scheduled","OK",IF(E269="","Missing weight",IF(OR(E269&lt;'Check Rules'!$B$5,E269&gt;'Check Rules'!$B$6),"Weight out of range",IF(OR(F269&lt;'Check Rules'!$B$7,F269&gt;'Check Rules'!$B$8),"Systolic BP out of range",IF(OR(G269&lt;'Check Rules'!$B$9,G269&gt;'Check Rules'!$B$10),"Diastolic BP out of range",IF(G269&gt;=F269,"Diastolic &gt;= systolic","OK")))))))))</f>
        <v>OK</v>
      </c>
    </row>
    <row r="270" spans="1:9" x14ac:dyDescent="0.25">
      <c r="A270" s="10" t="s">
        <v>177</v>
      </c>
      <c r="B270" s="10" t="s">
        <v>78</v>
      </c>
      <c r="C270" s="10" t="s">
        <v>195</v>
      </c>
      <c r="D270" s="19">
        <v>46138</v>
      </c>
      <c r="E270" s="10">
        <v>53.1</v>
      </c>
      <c r="F270" s="10">
        <v>118</v>
      </c>
      <c r="G270" s="10">
        <v>65</v>
      </c>
      <c r="H270" s="10" t="s">
        <v>191</v>
      </c>
      <c r="I270" s="10" t="str">
        <f>IF(COUNTIF(Subjects!$A$2:$A$82,A270)=0,"Subject not in register",IF(D270&lt;INDEX(Subjects!$C$2:$C$82,MATCH(A270,Subjects!$A$2:$A$82,0)),"Visit before enrollment",IF(H270="Missed","Missed visit",IF(H270="Scheduled","OK",IF(E270="","Missing weight",IF(OR(E270&lt;'Check Rules'!$B$5,E270&gt;'Check Rules'!$B$6),"Weight out of range",IF(OR(F270&lt;'Check Rules'!$B$7,F270&gt;'Check Rules'!$B$8),"Systolic BP out of range",IF(OR(G270&lt;'Check Rules'!$B$9,G270&gt;'Check Rules'!$B$10),"Diastolic BP out of range",IF(G270&gt;=F270,"Diastolic &gt;= systolic","OK")))))))))</f>
        <v>OK</v>
      </c>
    </row>
    <row r="271" spans="1:9" x14ac:dyDescent="0.25">
      <c r="A271" s="10" t="s">
        <v>178</v>
      </c>
      <c r="B271" s="10" t="s">
        <v>76</v>
      </c>
      <c r="C271" s="10" t="s">
        <v>190</v>
      </c>
      <c r="D271" s="19">
        <v>46038</v>
      </c>
      <c r="E271" s="10">
        <v>52.8</v>
      </c>
      <c r="F271" s="10">
        <v>141</v>
      </c>
      <c r="G271" s="10">
        <v>75</v>
      </c>
      <c r="H271" s="10" t="s">
        <v>191</v>
      </c>
      <c r="I271" s="10" t="str">
        <f>IF(COUNTIF(Subjects!$A$2:$A$82,A271)=0,"Subject not in register",IF(D271&lt;INDEX(Subjects!$C$2:$C$82,MATCH(A271,Subjects!$A$2:$A$82,0)),"Visit before enrollment",IF(H271="Missed","Missed visit",IF(H271="Scheduled","OK",IF(E271="","Missing weight",IF(OR(E271&lt;'Check Rules'!$B$5,E271&gt;'Check Rules'!$B$6),"Weight out of range",IF(OR(F271&lt;'Check Rules'!$B$7,F271&gt;'Check Rules'!$B$8),"Systolic BP out of range",IF(OR(G271&lt;'Check Rules'!$B$9,G271&gt;'Check Rules'!$B$10),"Diastolic BP out of range",IF(G271&gt;=F271,"Diastolic &gt;= systolic","OK")))))))))</f>
        <v>OK</v>
      </c>
    </row>
    <row r="272" spans="1:9" x14ac:dyDescent="0.25">
      <c r="A272" s="10" t="s">
        <v>178</v>
      </c>
      <c r="B272" s="10" t="s">
        <v>76</v>
      </c>
      <c r="C272" s="10" t="s">
        <v>192</v>
      </c>
      <c r="D272" s="19">
        <v>46040</v>
      </c>
      <c r="E272" s="10">
        <v>52</v>
      </c>
      <c r="F272" s="10">
        <v>123</v>
      </c>
      <c r="G272" s="10">
        <v>81</v>
      </c>
      <c r="H272" s="10" t="s">
        <v>191</v>
      </c>
      <c r="I272" s="10" t="str">
        <f>IF(COUNTIF(Subjects!$A$2:$A$82,A272)=0,"Subject not in register",IF(D272&lt;INDEX(Subjects!$C$2:$C$82,MATCH(A272,Subjects!$A$2:$A$82,0)),"Visit before enrollment",IF(H272="Missed","Missed visit",IF(H272="Scheduled","OK",IF(E272="","Missing weight",IF(OR(E272&lt;'Check Rules'!$B$5,E272&gt;'Check Rules'!$B$6),"Weight out of range",IF(OR(F272&lt;'Check Rules'!$B$7,F272&gt;'Check Rules'!$B$8),"Systolic BP out of range",IF(OR(G272&lt;'Check Rules'!$B$9,G272&gt;'Check Rules'!$B$10),"Diastolic BP out of range",IF(G272&gt;=F272,"Diastolic &gt;= systolic","OK")))))))))</f>
        <v>OK</v>
      </c>
    </row>
    <row r="273" spans="1:9" x14ac:dyDescent="0.25">
      <c r="A273" s="10" t="s">
        <v>178</v>
      </c>
      <c r="B273" s="10" t="s">
        <v>76</v>
      </c>
      <c r="C273" s="10" t="s">
        <v>193</v>
      </c>
      <c r="D273" s="19">
        <v>46068</v>
      </c>
      <c r="E273" s="10">
        <v>53.7</v>
      </c>
      <c r="F273" s="10">
        <v>131</v>
      </c>
      <c r="G273" s="10">
        <v>82</v>
      </c>
      <c r="H273" s="10" t="s">
        <v>191</v>
      </c>
      <c r="I273" s="10" t="str">
        <f>IF(COUNTIF(Subjects!$A$2:$A$82,A273)=0,"Subject not in register",IF(D273&lt;INDEX(Subjects!$C$2:$C$82,MATCH(A273,Subjects!$A$2:$A$82,0)),"Visit before enrollment",IF(H273="Missed","Missed visit",IF(H273="Scheduled","OK",IF(E273="","Missing weight",IF(OR(E273&lt;'Check Rules'!$B$5,E273&gt;'Check Rules'!$B$6),"Weight out of range",IF(OR(F273&lt;'Check Rules'!$B$7,F273&gt;'Check Rules'!$B$8),"Systolic BP out of range",IF(OR(G273&lt;'Check Rules'!$B$9,G273&gt;'Check Rules'!$B$10),"Diastolic BP out of range",IF(G273&gt;=F273,"Diastolic &gt;= systolic","OK")))))))))</f>
        <v>OK</v>
      </c>
    </row>
    <row r="274" spans="1:9" x14ac:dyDescent="0.25">
      <c r="A274" s="10" t="s">
        <v>178</v>
      </c>
      <c r="B274" s="10" t="s">
        <v>76</v>
      </c>
      <c r="C274" s="10" t="s">
        <v>194</v>
      </c>
      <c r="D274" s="19">
        <v>46096</v>
      </c>
      <c r="E274" s="10">
        <v>51.5</v>
      </c>
      <c r="F274" s="10">
        <v>133</v>
      </c>
      <c r="G274" s="10">
        <v>80</v>
      </c>
      <c r="H274" s="10" t="s">
        <v>191</v>
      </c>
      <c r="I274" s="10" t="str">
        <f>IF(COUNTIF(Subjects!$A$2:$A$82,A274)=0,"Subject not in register",IF(D274&lt;INDEX(Subjects!$C$2:$C$82,MATCH(A274,Subjects!$A$2:$A$82,0)),"Visit before enrollment",IF(H274="Missed","Missed visit",IF(H274="Scheduled","OK",IF(E274="","Missing weight",IF(OR(E274&lt;'Check Rules'!$B$5,E274&gt;'Check Rules'!$B$6),"Weight out of range",IF(OR(F274&lt;'Check Rules'!$B$7,F274&gt;'Check Rules'!$B$8),"Systolic BP out of range",IF(OR(G274&lt;'Check Rules'!$B$9,G274&gt;'Check Rules'!$B$10),"Diastolic BP out of range",IF(G274&gt;=F274,"Diastolic &gt;= systolic","OK")))))))))</f>
        <v>OK</v>
      </c>
    </row>
    <row r="275" spans="1:9" x14ac:dyDescent="0.25">
      <c r="A275" s="10" t="s">
        <v>178</v>
      </c>
      <c r="B275" s="10" t="s">
        <v>76</v>
      </c>
      <c r="C275" s="10" t="s">
        <v>195</v>
      </c>
      <c r="D275" s="19">
        <v>46124</v>
      </c>
      <c r="E275" s="10">
        <v>52.9</v>
      </c>
      <c r="F275" s="10">
        <v>135</v>
      </c>
      <c r="G275" s="10">
        <v>79</v>
      </c>
      <c r="H275" s="10" t="s">
        <v>191</v>
      </c>
      <c r="I275" s="10" t="str">
        <f>IF(COUNTIF(Subjects!$A$2:$A$82,A275)=0,"Subject not in register",IF(D275&lt;INDEX(Subjects!$C$2:$C$82,MATCH(A275,Subjects!$A$2:$A$82,0)),"Visit before enrollment",IF(H275="Missed","Missed visit",IF(H275="Scheduled","OK",IF(E275="","Missing weight",IF(OR(E275&lt;'Check Rules'!$B$5,E275&gt;'Check Rules'!$B$6),"Weight out of range",IF(OR(F275&lt;'Check Rules'!$B$7,F275&gt;'Check Rules'!$B$8),"Systolic BP out of range",IF(OR(G275&lt;'Check Rules'!$B$9,G275&gt;'Check Rules'!$B$10),"Diastolic BP out of range",IF(G275&gt;=F275,"Diastolic &gt;= systolic","OK")))))))))</f>
        <v>OK</v>
      </c>
    </row>
    <row r="276" spans="1:9" x14ac:dyDescent="0.25">
      <c r="A276" s="10" t="s">
        <v>179</v>
      </c>
      <c r="B276" s="10" t="s">
        <v>78</v>
      </c>
      <c r="C276" s="10" t="s">
        <v>190</v>
      </c>
      <c r="D276" s="19">
        <v>46054</v>
      </c>
      <c r="E276" s="10">
        <v>75.3</v>
      </c>
      <c r="F276" s="10">
        <v>115</v>
      </c>
      <c r="G276" s="10">
        <v>82</v>
      </c>
      <c r="H276" s="10" t="s">
        <v>191</v>
      </c>
      <c r="I276" s="10" t="str">
        <f>IF(COUNTIF(Subjects!$A$2:$A$82,A276)=0,"Subject not in register",IF(D276&lt;INDEX(Subjects!$C$2:$C$82,MATCH(A276,Subjects!$A$2:$A$82,0)),"Visit before enrollment",IF(H276="Missed","Missed visit",IF(H276="Scheduled","OK",IF(E276="","Missing weight",IF(OR(E276&lt;'Check Rules'!$B$5,E276&gt;'Check Rules'!$B$6),"Weight out of range",IF(OR(F276&lt;'Check Rules'!$B$7,F276&gt;'Check Rules'!$B$8),"Systolic BP out of range",IF(OR(G276&lt;'Check Rules'!$B$9,G276&gt;'Check Rules'!$B$10),"Diastolic BP out of range",IF(G276&gt;=F276,"Diastolic &gt;= systolic","OK")))))))))</f>
        <v>OK</v>
      </c>
    </row>
    <row r="277" spans="1:9" x14ac:dyDescent="0.25">
      <c r="A277" s="10" t="s">
        <v>179</v>
      </c>
      <c r="B277" s="10" t="s">
        <v>78</v>
      </c>
      <c r="C277" s="10" t="s">
        <v>192</v>
      </c>
      <c r="D277" s="19">
        <v>46056</v>
      </c>
      <c r="E277" s="10">
        <v>76.599999999999994</v>
      </c>
      <c r="F277" s="10">
        <v>113</v>
      </c>
      <c r="G277" s="10">
        <v>79</v>
      </c>
      <c r="H277" s="10" t="s">
        <v>191</v>
      </c>
      <c r="I277" s="10" t="str">
        <f>IF(COUNTIF(Subjects!$A$2:$A$82,A277)=0,"Subject not in register",IF(D277&lt;INDEX(Subjects!$C$2:$C$82,MATCH(A277,Subjects!$A$2:$A$82,0)),"Visit before enrollment",IF(H277="Missed","Missed visit",IF(H277="Scheduled","OK",IF(E277="","Missing weight",IF(OR(E277&lt;'Check Rules'!$B$5,E277&gt;'Check Rules'!$B$6),"Weight out of range",IF(OR(F277&lt;'Check Rules'!$B$7,F277&gt;'Check Rules'!$B$8),"Systolic BP out of range",IF(OR(G277&lt;'Check Rules'!$B$9,G277&gt;'Check Rules'!$B$10),"Diastolic BP out of range",IF(G277&gt;=F277,"Diastolic &gt;= systolic","OK")))))))))</f>
        <v>OK</v>
      </c>
    </row>
    <row r="278" spans="1:9" x14ac:dyDescent="0.25">
      <c r="A278" s="10" t="s">
        <v>180</v>
      </c>
      <c r="B278" s="10" t="s">
        <v>78</v>
      </c>
      <c r="C278" s="10" t="s">
        <v>190</v>
      </c>
      <c r="D278" s="19">
        <v>46034</v>
      </c>
      <c r="E278" s="10">
        <v>58.9</v>
      </c>
      <c r="F278" s="10">
        <v>111</v>
      </c>
      <c r="G278" s="10">
        <v>80</v>
      </c>
      <c r="H278" s="10" t="s">
        <v>191</v>
      </c>
      <c r="I278" s="10" t="str">
        <f>IF(COUNTIF(Subjects!$A$2:$A$82,A278)=0,"Subject not in register",IF(D278&lt;INDEX(Subjects!$C$2:$C$82,MATCH(A278,Subjects!$A$2:$A$82,0)),"Visit before enrollment",IF(H278="Missed","Missed visit",IF(H278="Scheduled","OK",IF(E278="","Missing weight",IF(OR(E278&lt;'Check Rules'!$B$5,E278&gt;'Check Rules'!$B$6),"Weight out of range",IF(OR(F278&lt;'Check Rules'!$B$7,F278&gt;'Check Rules'!$B$8),"Systolic BP out of range",IF(OR(G278&lt;'Check Rules'!$B$9,G278&gt;'Check Rules'!$B$10),"Diastolic BP out of range",IF(G278&gt;=F278,"Diastolic &gt;= systolic","OK")))))))))</f>
        <v>OK</v>
      </c>
    </row>
    <row r="279" spans="1:9" x14ac:dyDescent="0.25">
      <c r="A279" s="10" t="s">
        <v>180</v>
      </c>
      <c r="B279" s="10" t="s">
        <v>78</v>
      </c>
      <c r="C279" s="10" t="s">
        <v>192</v>
      </c>
      <c r="D279" s="19">
        <v>46036</v>
      </c>
      <c r="E279" s="10">
        <v>60.9</v>
      </c>
      <c r="F279" s="10">
        <v>117</v>
      </c>
      <c r="G279" s="10">
        <v>91</v>
      </c>
      <c r="H279" s="10" t="s">
        <v>191</v>
      </c>
      <c r="I279" s="10" t="str">
        <f>IF(COUNTIF(Subjects!$A$2:$A$82,A279)=0,"Subject not in register",IF(D279&lt;INDEX(Subjects!$C$2:$C$82,MATCH(A279,Subjects!$A$2:$A$82,0)),"Visit before enrollment",IF(H279="Missed","Missed visit",IF(H279="Scheduled","OK",IF(E279="","Missing weight",IF(OR(E279&lt;'Check Rules'!$B$5,E279&gt;'Check Rules'!$B$6),"Weight out of range",IF(OR(F279&lt;'Check Rules'!$B$7,F279&gt;'Check Rules'!$B$8),"Systolic BP out of range",IF(OR(G279&lt;'Check Rules'!$B$9,G279&gt;'Check Rules'!$B$10),"Diastolic BP out of range",IF(G279&gt;=F279,"Diastolic &gt;= systolic","OK")))))))))</f>
        <v>OK</v>
      </c>
    </row>
    <row r="280" spans="1:9" x14ac:dyDescent="0.25">
      <c r="A280" s="10" t="s">
        <v>180</v>
      </c>
      <c r="B280" s="10" t="s">
        <v>78</v>
      </c>
      <c r="C280" s="10" t="s">
        <v>193</v>
      </c>
      <c r="D280" s="19">
        <v>46064</v>
      </c>
      <c r="E280" s="10">
        <v>59.7</v>
      </c>
      <c r="F280" s="10">
        <v>110</v>
      </c>
      <c r="G280" s="10">
        <v>78</v>
      </c>
      <c r="H280" s="10" t="s">
        <v>191</v>
      </c>
      <c r="I280" s="10" t="str">
        <f>IF(COUNTIF(Subjects!$A$2:$A$82,A280)=0,"Subject not in register",IF(D280&lt;INDEX(Subjects!$C$2:$C$82,MATCH(A280,Subjects!$A$2:$A$82,0)),"Visit before enrollment",IF(H280="Missed","Missed visit",IF(H280="Scheduled","OK",IF(E280="","Missing weight",IF(OR(E280&lt;'Check Rules'!$B$5,E280&gt;'Check Rules'!$B$6),"Weight out of range",IF(OR(F280&lt;'Check Rules'!$B$7,F280&gt;'Check Rules'!$B$8),"Systolic BP out of range",IF(OR(G280&lt;'Check Rules'!$B$9,G280&gt;'Check Rules'!$B$10),"Diastolic BP out of range",IF(G280&gt;=F280,"Diastolic &gt;= systolic","OK")))))))))</f>
        <v>OK</v>
      </c>
    </row>
    <row r="281" spans="1:9" x14ac:dyDescent="0.25">
      <c r="A281" s="10" t="s">
        <v>180</v>
      </c>
      <c r="B281" s="10" t="s">
        <v>78</v>
      </c>
      <c r="C281" s="10" t="s">
        <v>194</v>
      </c>
      <c r="D281" s="19">
        <v>46092</v>
      </c>
      <c r="E281" s="10">
        <v>59.5</v>
      </c>
      <c r="F281" s="10">
        <v>122</v>
      </c>
      <c r="G281" s="10">
        <v>78</v>
      </c>
      <c r="H281" s="10" t="s">
        <v>191</v>
      </c>
      <c r="I281" s="10" t="str">
        <f>IF(COUNTIF(Subjects!$A$2:$A$82,A281)=0,"Subject not in register",IF(D281&lt;INDEX(Subjects!$C$2:$C$82,MATCH(A281,Subjects!$A$2:$A$82,0)),"Visit before enrollment",IF(H281="Missed","Missed visit",IF(H281="Scheduled","OK",IF(E281="","Missing weight",IF(OR(E281&lt;'Check Rules'!$B$5,E281&gt;'Check Rules'!$B$6),"Weight out of range",IF(OR(F281&lt;'Check Rules'!$B$7,F281&gt;'Check Rules'!$B$8),"Systolic BP out of range",IF(OR(G281&lt;'Check Rules'!$B$9,G281&gt;'Check Rules'!$B$10),"Diastolic BP out of range",IF(G281&gt;=F281,"Diastolic &gt;= systolic","OK")))))))))</f>
        <v>OK</v>
      </c>
    </row>
    <row r="282" spans="1:9" x14ac:dyDescent="0.25">
      <c r="A282" s="10" t="s">
        <v>180</v>
      </c>
      <c r="B282" s="10" t="s">
        <v>78</v>
      </c>
      <c r="C282" s="10" t="s">
        <v>195</v>
      </c>
      <c r="D282" s="19">
        <v>46120</v>
      </c>
      <c r="E282" s="10">
        <v>59.7</v>
      </c>
      <c r="F282" s="10">
        <v>122</v>
      </c>
      <c r="G282" s="10">
        <v>85</v>
      </c>
      <c r="H282" s="10" t="s">
        <v>191</v>
      </c>
      <c r="I282" s="10" t="str">
        <f>IF(COUNTIF(Subjects!$A$2:$A$82,A282)=0,"Subject not in register",IF(D282&lt;INDEX(Subjects!$C$2:$C$82,MATCH(A282,Subjects!$A$2:$A$82,0)),"Visit before enrollment",IF(H282="Missed","Missed visit",IF(H282="Scheduled","OK",IF(E282="","Missing weight",IF(OR(E282&lt;'Check Rules'!$B$5,E282&gt;'Check Rules'!$B$6),"Weight out of range",IF(OR(F282&lt;'Check Rules'!$B$7,F282&gt;'Check Rules'!$B$8),"Systolic BP out of range",IF(OR(G282&lt;'Check Rules'!$B$9,G282&gt;'Check Rules'!$B$10),"Diastolic BP out of range",IF(G282&gt;=F282,"Diastolic &gt;= systolic","OK")))))))))</f>
        <v>OK</v>
      </c>
    </row>
    <row r="283" spans="1:9" x14ac:dyDescent="0.25">
      <c r="A283" s="10" t="s">
        <v>181</v>
      </c>
      <c r="B283" s="10" t="s">
        <v>77</v>
      </c>
      <c r="C283" s="10" t="s">
        <v>190</v>
      </c>
      <c r="D283" s="19">
        <v>46027</v>
      </c>
      <c r="E283" s="10">
        <v>62</v>
      </c>
      <c r="F283" s="10">
        <v>123</v>
      </c>
      <c r="G283" s="10">
        <v>76</v>
      </c>
      <c r="H283" s="10" t="s">
        <v>191</v>
      </c>
      <c r="I283" s="10" t="str">
        <f>IF(COUNTIF(Subjects!$A$2:$A$82,A283)=0,"Subject not in register",IF(D283&lt;INDEX(Subjects!$C$2:$C$82,MATCH(A283,Subjects!$A$2:$A$82,0)),"Visit before enrollment",IF(H283="Missed","Missed visit",IF(H283="Scheduled","OK",IF(E283="","Missing weight",IF(OR(E283&lt;'Check Rules'!$B$5,E283&gt;'Check Rules'!$B$6),"Weight out of range",IF(OR(F283&lt;'Check Rules'!$B$7,F283&gt;'Check Rules'!$B$8),"Systolic BP out of range",IF(OR(G283&lt;'Check Rules'!$B$9,G283&gt;'Check Rules'!$B$10),"Diastolic BP out of range",IF(G283&gt;=F283,"Diastolic &gt;= systolic","OK")))))))))</f>
        <v>OK</v>
      </c>
    </row>
    <row r="284" spans="1:9" x14ac:dyDescent="0.25">
      <c r="A284" s="10" t="s">
        <v>181</v>
      </c>
      <c r="B284" s="10" t="s">
        <v>77</v>
      </c>
      <c r="C284" s="10" t="s">
        <v>192</v>
      </c>
      <c r="D284" s="19">
        <v>46029</v>
      </c>
      <c r="E284" s="10">
        <v>62.1</v>
      </c>
      <c r="F284" s="10">
        <v>117</v>
      </c>
      <c r="G284" s="10">
        <v>85</v>
      </c>
      <c r="H284" s="10" t="s">
        <v>191</v>
      </c>
      <c r="I284" s="10" t="str">
        <f>IF(COUNTIF(Subjects!$A$2:$A$82,A284)=0,"Subject not in register",IF(D284&lt;INDEX(Subjects!$C$2:$C$82,MATCH(A284,Subjects!$A$2:$A$82,0)),"Visit before enrollment",IF(H284="Missed","Missed visit",IF(H284="Scheduled","OK",IF(E284="","Missing weight",IF(OR(E284&lt;'Check Rules'!$B$5,E284&gt;'Check Rules'!$B$6),"Weight out of range",IF(OR(F284&lt;'Check Rules'!$B$7,F284&gt;'Check Rules'!$B$8),"Systolic BP out of range",IF(OR(G284&lt;'Check Rules'!$B$9,G284&gt;'Check Rules'!$B$10),"Diastolic BP out of range",IF(G284&gt;=F284,"Diastolic &gt;= systolic","OK")))))))))</f>
        <v>OK</v>
      </c>
    </row>
    <row r="285" spans="1:9" x14ac:dyDescent="0.25">
      <c r="A285" s="10" t="s">
        <v>181</v>
      </c>
      <c r="B285" s="10" t="s">
        <v>77</v>
      </c>
      <c r="C285" s="10" t="s">
        <v>193</v>
      </c>
      <c r="D285" s="19">
        <v>46057</v>
      </c>
      <c r="E285" s="10">
        <v>63.5</v>
      </c>
      <c r="F285" s="10">
        <v>133</v>
      </c>
      <c r="G285" s="10">
        <v>90</v>
      </c>
      <c r="H285" s="10" t="s">
        <v>191</v>
      </c>
      <c r="I285" s="10" t="str">
        <f>IF(COUNTIF(Subjects!$A$2:$A$82,A285)=0,"Subject not in register",IF(D285&lt;INDEX(Subjects!$C$2:$C$82,MATCH(A285,Subjects!$A$2:$A$82,0)),"Visit before enrollment",IF(H285="Missed","Missed visit",IF(H285="Scheduled","OK",IF(E285="","Missing weight",IF(OR(E285&lt;'Check Rules'!$B$5,E285&gt;'Check Rules'!$B$6),"Weight out of range",IF(OR(F285&lt;'Check Rules'!$B$7,F285&gt;'Check Rules'!$B$8),"Systolic BP out of range",IF(OR(G285&lt;'Check Rules'!$B$9,G285&gt;'Check Rules'!$B$10),"Diastolic BP out of range",IF(G285&gt;=F285,"Diastolic &gt;= systolic","OK")))))))))</f>
        <v>OK</v>
      </c>
    </row>
    <row r="286" spans="1:9" x14ac:dyDescent="0.25">
      <c r="A286" s="10" t="s">
        <v>181</v>
      </c>
      <c r="B286" s="10" t="s">
        <v>77</v>
      </c>
      <c r="C286" s="10" t="s">
        <v>194</v>
      </c>
      <c r="D286" s="19">
        <v>46085</v>
      </c>
      <c r="E286" s="10">
        <v>63.5</v>
      </c>
      <c r="F286" s="10">
        <v>123</v>
      </c>
      <c r="G286" s="10">
        <v>86</v>
      </c>
      <c r="H286" s="10" t="s">
        <v>191</v>
      </c>
      <c r="I286" s="10" t="str">
        <f>IF(COUNTIF(Subjects!$A$2:$A$82,A286)=0,"Subject not in register",IF(D286&lt;INDEX(Subjects!$C$2:$C$82,MATCH(A286,Subjects!$A$2:$A$82,0)),"Visit before enrollment",IF(H286="Missed","Missed visit",IF(H286="Scheduled","OK",IF(E286="","Missing weight",IF(OR(E286&lt;'Check Rules'!$B$5,E286&gt;'Check Rules'!$B$6),"Weight out of range",IF(OR(F286&lt;'Check Rules'!$B$7,F286&gt;'Check Rules'!$B$8),"Systolic BP out of range",IF(OR(G286&lt;'Check Rules'!$B$9,G286&gt;'Check Rules'!$B$10),"Diastolic BP out of range",IF(G286&gt;=F286,"Diastolic &gt;= systolic","OK")))))))))</f>
        <v>OK</v>
      </c>
    </row>
    <row r="287" spans="1:9" x14ac:dyDescent="0.25">
      <c r="A287" s="10" t="s">
        <v>182</v>
      </c>
      <c r="B287" s="10" t="s">
        <v>74</v>
      </c>
      <c r="C287" s="10" t="s">
        <v>190</v>
      </c>
      <c r="D287" s="19">
        <v>46069</v>
      </c>
      <c r="E287" s="10">
        <v>96.2</v>
      </c>
      <c r="F287" s="10">
        <v>106</v>
      </c>
      <c r="G287" s="10">
        <v>81</v>
      </c>
      <c r="H287" s="10" t="s">
        <v>191</v>
      </c>
      <c r="I287" s="10" t="str">
        <f>IF(COUNTIF(Subjects!$A$2:$A$82,A287)=0,"Subject not in register",IF(D287&lt;INDEX(Subjects!$C$2:$C$82,MATCH(A287,Subjects!$A$2:$A$82,0)),"Visit before enrollment",IF(H287="Missed","Missed visit",IF(H287="Scheduled","OK",IF(E287="","Missing weight",IF(OR(E287&lt;'Check Rules'!$B$5,E287&gt;'Check Rules'!$B$6),"Weight out of range",IF(OR(F287&lt;'Check Rules'!$B$7,F287&gt;'Check Rules'!$B$8),"Systolic BP out of range",IF(OR(G287&lt;'Check Rules'!$B$9,G287&gt;'Check Rules'!$B$10),"Diastolic BP out of range",IF(G287&gt;=F287,"Diastolic &gt;= systolic","OK")))))))))</f>
        <v>OK</v>
      </c>
    </row>
    <row r="288" spans="1:9" x14ac:dyDescent="0.25">
      <c r="A288" s="10" t="s">
        <v>182</v>
      </c>
      <c r="B288" s="10" t="s">
        <v>74</v>
      </c>
      <c r="C288" s="10" t="s">
        <v>192</v>
      </c>
      <c r="D288" s="19">
        <v>46071</v>
      </c>
      <c r="E288" s="10">
        <v>94.4</v>
      </c>
      <c r="F288" s="10">
        <v>101</v>
      </c>
      <c r="G288" s="10">
        <v>76</v>
      </c>
      <c r="H288" s="10" t="s">
        <v>191</v>
      </c>
      <c r="I288" s="10" t="str">
        <f>IF(COUNTIF(Subjects!$A$2:$A$82,A288)=0,"Subject not in register",IF(D288&lt;INDEX(Subjects!$C$2:$C$82,MATCH(A288,Subjects!$A$2:$A$82,0)),"Visit before enrollment",IF(H288="Missed","Missed visit",IF(H288="Scheduled","OK",IF(E288="","Missing weight",IF(OR(E288&lt;'Check Rules'!$B$5,E288&gt;'Check Rules'!$B$6),"Weight out of range",IF(OR(F288&lt;'Check Rules'!$B$7,F288&gt;'Check Rules'!$B$8),"Systolic BP out of range",IF(OR(G288&lt;'Check Rules'!$B$9,G288&gt;'Check Rules'!$B$10),"Diastolic BP out of range",IF(G288&gt;=F288,"Diastolic &gt;= systolic","OK")))))))))</f>
        <v>OK</v>
      </c>
    </row>
    <row r="289" spans="1:9" x14ac:dyDescent="0.25">
      <c r="A289" s="10" t="s">
        <v>182</v>
      </c>
      <c r="B289" s="10" t="s">
        <v>74</v>
      </c>
      <c r="C289" s="10" t="s">
        <v>193</v>
      </c>
      <c r="D289" s="19">
        <v>46099</v>
      </c>
      <c r="E289" s="10">
        <v>96.1</v>
      </c>
      <c r="F289" s="10">
        <v>104</v>
      </c>
      <c r="G289" s="10">
        <v>79</v>
      </c>
      <c r="H289" s="10" t="s">
        <v>191</v>
      </c>
      <c r="I289" s="10" t="str">
        <f>IF(COUNTIF(Subjects!$A$2:$A$82,A289)=0,"Subject not in register",IF(D289&lt;INDEX(Subjects!$C$2:$C$82,MATCH(A289,Subjects!$A$2:$A$82,0)),"Visit before enrollment",IF(H289="Missed","Missed visit",IF(H289="Scheduled","OK",IF(E289="","Missing weight",IF(OR(E289&lt;'Check Rules'!$B$5,E289&gt;'Check Rules'!$B$6),"Weight out of range",IF(OR(F289&lt;'Check Rules'!$B$7,F289&gt;'Check Rules'!$B$8),"Systolic BP out of range",IF(OR(G289&lt;'Check Rules'!$B$9,G289&gt;'Check Rules'!$B$10),"Diastolic BP out of range",IF(G289&gt;=F289,"Diastolic &gt;= systolic","OK")))))))))</f>
        <v>OK</v>
      </c>
    </row>
    <row r="290" spans="1:9" x14ac:dyDescent="0.25">
      <c r="A290" s="10" t="s">
        <v>182</v>
      </c>
      <c r="B290" s="10" t="s">
        <v>74</v>
      </c>
      <c r="C290" s="10" t="s">
        <v>194</v>
      </c>
      <c r="D290" s="19">
        <v>46127</v>
      </c>
      <c r="E290" s="10">
        <v>96.1</v>
      </c>
      <c r="F290" s="10">
        <v>112</v>
      </c>
      <c r="G290" s="10">
        <v>87</v>
      </c>
      <c r="H290" s="10" t="s">
        <v>191</v>
      </c>
      <c r="I290" s="10" t="str">
        <f>IF(COUNTIF(Subjects!$A$2:$A$82,A290)=0,"Subject not in register",IF(D290&lt;INDEX(Subjects!$C$2:$C$82,MATCH(A290,Subjects!$A$2:$A$82,0)),"Visit before enrollment",IF(H290="Missed","Missed visit",IF(H290="Scheduled","OK",IF(E290="","Missing weight",IF(OR(E290&lt;'Check Rules'!$B$5,E290&gt;'Check Rules'!$B$6),"Weight out of range",IF(OR(F290&lt;'Check Rules'!$B$7,F290&gt;'Check Rules'!$B$8),"Systolic BP out of range",IF(OR(G290&lt;'Check Rules'!$B$9,G290&gt;'Check Rules'!$B$10),"Diastolic BP out of range",IF(G290&gt;=F290,"Diastolic &gt;= systolic","OK")))))))))</f>
        <v>OK</v>
      </c>
    </row>
    <row r="291" spans="1:9" x14ac:dyDescent="0.25">
      <c r="A291" s="10" t="s">
        <v>183</v>
      </c>
      <c r="B291" s="10" t="s">
        <v>74</v>
      </c>
      <c r="C291" s="10" t="s">
        <v>190</v>
      </c>
      <c r="D291" s="19">
        <v>46073</v>
      </c>
      <c r="E291" s="10">
        <v>70.900000000000006</v>
      </c>
      <c r="F291" s="10">
        <v>133</v>
      </c>
      <c r="G291" s="10">
        <v>61</v>
      </c>
      <c r="H291" s="10" t="s">
        <v>191</v>
      </c>
      <c r="I291" s="10" t="str">
        <f>IF(COUNTIF(Subjects!$A$2:$A$82,A291)=0,"Subject not in register",IF(D291&lt;INDEX(Subjects!$C$2:$C$82,MATCH(A291,Subjects!$A$2:$A$82,0)),"Visit before enrollment",IF(H291="Missed","Missed visit",IF(H291="Scheduled","OK",IF(E291="","Missing weight",IF(OR(E291&lt;'Check Rules'!$B$5,E291&gt;'Check Rules'!$B$6),"Weight out of range",IF(OR(F291&lt;'Check Rules'!$B$7,F291&gt;'Check Rules'!$B$8),"Systolic BP out of range",IF(OR(G291&lt;'Check Rules'!$B$9,G291&gt;'Check Rules'!$B$10),"Diastolic BP out of range",IF(G291&gt;=F291,"Diastolic &gt;= systolic","OK")))))))))</f>
        <v>OK</v>
      </c>
    </row>
    <row r="292" spans="1:9" x14ac:dyDescent="0.25">
      <c r="A292" s="10" t="s">
        <v>183</v>
      </c>
      <c r="B292" s="10" t="s">
        <v>74</v>
      </c>
      <c r="C292" s="10" t="s">
        <v>192</v>
      </c>
      <c r="D292" s="19">
        <v>46075</v>
      </c>
      <c r="E292" s="10">
        <v>71.099999999999994</v>
      </c>
      <c r="F292" s="10">
        <v>122</v>
      </c>
      <c r="G292" s="10">
        <v>70</v>
      </c>
      <c r="H292" s="10" t="s">
        <v>191</v>
      </c>
      <c r="I292" s="10" t="str">
        <f>IF(COUNTIF(Subjects!$A$2:$A$82,A292)=0,"Subject not in register",IF(D292&lt;INDEX(Subjects!$C$2:$C$82,MATCH(A292,Subjects!$A$2:$A$82,0)),"Visit before enrollment",IF(H292="Missed","Missed visit",IF(H292="Scheduled","OK",IF(E292="","Missing weight",IF(OR(E292&lt;'Check Rules'!$B$5,E292&gt;'Check Rules'!$B$6),"Weight out of range",IF(OR(F292&lt;'Check Rules'!$B$7,F292&gt;'Check Rules'!$B$8),"Systolic BP out of range",IF(OR(G292&lt;'Check Rules'!$B$9,G292&gt;'Check Rules'!$B$10),"Diastolic BP out of range",IF(G292&gt;=F292,"Diastolic &gt;= systolic","OK")))))))))</f>
        <v>OK</v>
      </c>
    </row>
    <row r="293" spans="1:9" x14ac:dyDescent="0.25">
      <c r="A293" s="10" t="s">
        <v>198</v>
      </c>
      <c r="B293" s="10" t="s">
        <v>77</v>
      </c>
      <c r="C293" s="10" t="s">
        <v>190</v>
      </c>
      <c r="D293" s="19">
        <v>46056</v>
      </c>
      <c r="E293" s="10">
        <v>70.2</v>
      </c>
      <c r="F293" s="10">
        <v>122</v>
      </c>
      <c r="G293" s="10">
        <v>78</v>
      </c>
      <c r="H293" s="10" t="s">
        <v>191</v>
      </c>
      <c r="I293" s="10" t="str">
        <f>IF(COUNTIF(Subjects!$A$2:$A$82,A293)=0,"Subject not in register",IF(D293&lt;INDEX(Subjects!$C$2:$C$82,MATCH(A293,Subjects!$A$2:$A$82,0)),"Visit before enrollment",IF(H293="Missed","Missed visit",IF(H293="Scheduled","OK",IF(E293="","Missing weight",IF(OR(E293&lt;'Check Rules'!$B$5,E293&gt;'Check Rules'!$B$6),"Weight out of range",IF(OR(F293&lt;'Check Rules'!$B$7,F293&gt;'Check Rules'!$B$8),"Systolic BP out of range",IF(OR(G293&lt;'Check Rules'!$B$9,G293&gt;'Check Rules'!$B$10),"Diastolic BP out of range",IF(G293&gt;=F293,"Diastolic &gt;= systolic","OK")))))))))</f>
        <v>Subject not in register</v>
      </c>
    </row>
  </sheetData>
  <autoFilter ref="A1:I293" xr:uid="{00000000-0009-0000-0000-000003000000}"/>
  <conditionalFormatting sqref="I2:I293">
    <cfRule type="expression" dxfId="6" priority="2">
      <formula>I2&lt;&gt;"OK"</formula>
    </cfRule>
    <cfRule type="expression" dxfId="5" priority="3">
      <formula>I2="OK"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61"/>
  <sheetViews>
    <sheetView zoomScaleNormal="100" workbookViewId="0">
      <pane ySplit="1" topLeftCell="A41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4" customWidth="1"/>
    <col min="3" max="3" width="22" customWidth="1"/>
    <col min="4" max="4" width="13" customWidth="1"/>
    <col min="5" max="5" width="12" customWidth="1"/>
    <col min="6" max="6" width="13" customWidth="1"/>
    <col min="7" max="7" width="17" customWidth="1"/>
    <col min="8" max="8" width="15" customWidth="1"/>
    <col min="9" max="9" width="16" customWidth="1"/>
    <col min="10" max="10" width="26" customWidth="1"/>
  </cols>
  <sheetData>
    <row r="1" spans="1:10" ht="31.5" customHeight="1" x14ac:dyDescent="0.25">
      <c r="A1" s="18" t="s">
        <v>199</v>
      </c>
      <c r="B1" s="18" t="s">
        <v>92</v>
      </c>
      <c r="C1" s="18" t="s">
        <v>200</v>
      </c>
      <c r="D1" s="18" t="s">
        <v>201</v>
      </c>
      <c r="E1" s="18" t="s">
        <v>51</v>
      </c>
      <c r="F1" s="18" t="s">
        <v>202</v>
      </c>
      <c r="G1" s="18" t="s">
        <v>203</v>
      </c>
      <c r="H1" s="18" t="s">
        <v>204</v>
      </c>
      <c r="I1" s="18" t="s">
        <v>97</v>
      </c>
      <c r="J1" s="18" t="s">
        <v>99</v>
      </c>
    </row>
    <row r="2" spans="1:10" x14ac:dyDescent="0.25">
      <c r="A2" s="10" t="s">
        <v>205</v>
      </c>
      <c r="B2" s="10" t="s">
        <v>137</v>
      </c>
      <c r="C2" s="10" t="s">
        <v>206</v>
      </c>
      <c r="D2" s="19">
        <v>46034</v>
      </c>
      <c r="E2" s="10" t="s">
        <v>54</v>
      </c>
      <c r="F2" s="10" t="s">
        <v>207</v>
      </c>
      <c r="G2" s="10" t="s">
        <v>208</v>
      </c>
      <c r="H2" s="10" t="s">
        <v>209</v>
      </c>
      <c r="I2" s="10" t="str">
        <f>IFERROR(INDEX(Subjects!$F$2:$F$82,MATCH(B2,Subjects!$A$2:$A$82,0)),"Not in register")</f>
        <v>Treatment A</v>
      </c>
      <c r="J2" s="10" t="str">
        <f>IF(I2="Not in register","Subject not in register",IF(D2&lt;INDEX(Subjects!$C$2:$C$82,MATCH(B2,Subjects!$A$2:$A$82,0)),"Onset before enrollment",IF(E2="","Severity missing",IF(AND(F2&lt;&gt;"Yes",F2&lt;&gt;"No"),"Seriousness missing","OK"))))</f>
        <v>OK</v>
      </c>
    </row>
    <row r="3" spans="1:10" x14ac:dyDescent="0.25">
      <c r="A3" s="10" t="s">
        <v>210</v>
      </c>
      <c r="B3" s="10" t="s">
        <v>167</v>
      </c>
      <c r="C3" s="10" t="s">
        <v>211</v>
      </c>
      <c r="D3" s="19">
        <v>46043</v>
      </c>
      <c r="E3" s="10" t="s">
        <v>55</v>
      </c>
      <c r="F3" s="10" t="s">
        <v>207</v>
      </c>
      <c r="G3" s="10" t="s">
        <v>212</v>
      </c>
      <c r="H3" s="10" t="s">
        <v>213</v>
      </c>
      <c r="I3" s="10" t="str">
        <f>IFERROR(INDEX(Subjects!$F$2:$F$82,MATCH(B3,Subjects!$A$2:$A$82,0)),"Not in register")</f>
        <v>Treatment A</v>
      </c>
      <c r="J3" s="10" t="str">
        <f>IF(I3="Not in register","Subject not in register",IF(D3&lt;INDEX(Subjects!$C$2:$C$82,MATCH(B3,Subjects!$A$2:$A$82,0)),"Onset before enrollment",IF(E3="","Severity missing",IF(AND(F3&lt;&gt;"Yes",F3&lt;&gt;"No"),"Seriousness missing","OK"))))</f>
        <v>OK</v>
      </c>
    </row>
    <row r="4" spans="1:10" x14ac:dyDescent="0.25">
      <c r="A4" s="10" t="s">
        <v>214</v>
      </c>
      <c r="B4" s="10" t="s">
        <v>144</v>
      </c>
      <c r="C4" s="10" t="s">
        <v>206</v>
      </c>
      <c r="D4" s="19">
        <v>46044</v>
      </c>
      <c r="E4" s="10" t="s">
        <v>55</v>
      </c>
      <c r="F4" s="10" t="s">
        <v>207</v>
      </c>
      <c r="G4" s="10" t="s">
        <v>212</v>
      </c>
      <c r="H4" s="10" t="s">
        <v>215</v>
      </c>
      <c r="I4" s="10" t="str">
        <f>IFERROR(INDEX(Subjects!$F$2:$F$82,MATCH(B4,Subjects!$A$2:$A$82,0)),"Not in register")</f>
        <v>Treatment A</v>
      </c>
      <c r="J4" s="10" t="str">
        <f>IF(I4="Not in register","Subject not in register",IF(D4&lt;INDEX(Subjects!$C$2:$C$82,MATCH(B4,Subjects!$A$2:$A$82,0)),"Onset before enrollment",IF(E4="","Severity missing",IF(AND(F4&lt;&gt;"Yes",F4&lt;&gt;"No"),"Seriousness missing","OK"))))</f>
        <v>OK</v>
      </c>
    </row>
    <row r="5" spans="1:10" x14ac:dyDescent="0.25">
      <c r="A5" s="10" t="s">
        <v>216</v>
      </c>
      <c r="B5" s="10" t="s">
        <v>166</v>
      </c>
      <c r="C5" s="10" t="s">
        <v>217</v>
      </c>
      <c r="D5" s="19">
        <v>46048</v>
      </c>
      <c r="E5" s="10" t="s">
        <v>55</v>
      </c>
      <c r="F5" s="10" t="s">
        <v>207</v>
      </c>
      <c r="G5" s="10" t="s">
        <v>212</v>
      </c>
      <c r="H5" s="10" t="s">
        <v>218</v>
      </c>
      <c r="I5" s="10" t="str">
        <f>IFERROR(INDEX(Subjects!$F$2:$F$82,MATCH(B5,Subjects!$A$2:$A$82,0)),"Not in register")</f>
        <v>Placebo</v>
      </c>
      <c r="J5" s="10" t="str">
        <f>IF(I5="Not in register","Subject not in register",IF(D5&lt;INDEX(Subjects!$C$2:$C$82,MATCH(B5,Subjects!$A$2:$A$82,0)),"Onset before enrollment",IF(E5="","Severity missing",IF(AND(F5&lt;&gt;"Yes",F5&lt;&gt;"No"),"Seriousness missing","OK"))))</f>
        <v>OK</v>
      </c>
    </row>
    <row r="6" spans="1:10" x14ac:dyDescent="0.25">
      <c r="A6" s="10" t="s">
        <v>219</v>
      </c>
      <c r="B6" s="10" t="s">
        <v>131</v>
      </c>
      <c r="C6" s="10" t="s">
        <v>211</v>
      </c>
      <c r="D6" s="19">
        <v>46050</v>
      </c>
      <c r="E6" s="10"/>
      <c r="F6" s="10" t="s">
        <v>207</v>
      </c>
      <c r="G6" s="10" t="s">
        <v>212</v>
      </c>
      <c r="H6" s="10" t="s">
        <v>215</v>
      </c>
      <c r="I6" s="10" t="str">
        <f>IFERROR(INDEX(Subjects!$F$2:$F$82,MATCH(B6,Subjects!$A$2:$A$82,0)),"Not in register")</f>
        <v>Placebo</v>
      </c>
      <c r="J6" s="10" t="str">
        <f>IF(I6="Not in register","Subject not in register",IF(D6&lt;INDEX(Subjects!$C$2:$C$82,MATCH(B6,Subjects!$A$2:$A$82,0)),"Onset before enrollment",IF(E6="","Severity missing",IF(AND(F6&lt;&gt;"Yes",F6&lt;&gt;"No"),"Seriousness missing","OK"))))</f>
        <v>Severity missing</v>
      </c>
    </row>
    <row r="7" spans="1:10" x14ac:dyDescent="0.25">
      <c r="A7" s="10" t="s">
        <v>220</v>
      </c>
      <c r="B7" s="10" t="s">
        <v>162</v>
      </c>
      <c r="C7" s="10" t="s">
        <v>221</v>
      </c>
      <c r="D7" s="19">
        <v>46051</v>
      </c>
      <c r="E7" s="10" t="s">
        <v>54</v>
      </c>
      <c r="F7" s="10" t="s">
        <v>207</v>
      </c>
      <c r="G7" s="10" t="s">
        <v>212</v>
      </c>
      <c r="H7" s="10" t="s">
        <v>213</v>
      </c>
      <c r="I7" s="10" t="str">
        <f>IFERROR(INDEX(Subjects!$F$2:$F$82,MATCH(B7,Subjects!$A$2:$A$82,0)),"Not in register")</f>
        <v>Treatment A</v>
      </c>
      <c r="J7" s="10" t="str">
        <f>IF(I7="Not in register","Subject not in register",IF(D7&lt;INDEX(Subjects!$C$2:$C$82,MATCH(B7,Subjects!$A$2:$A$82,0)),"Onset before enrollment",IF(E7="","Severity missing",IF(AND(F7&lt;&gt;"Yes",F7&lt;&gt;"No"),"Seriousness missing","OK"))))</f>
        <v>OK</v>
      </c>
    </row>
    <row r="8" spans="1:10" x14ac:dyDescent="0.25">
      <c r="A8" s="10" t="s">
        <v>222</v>
      </c>
      <c r="B8" s="10" t="s">
        <v>116</v>
      </c>
      <c r="C8" s="10" t="s">
        <v>223</v>
      </c>
      <c r="D8" s="19">
        <v>46054</v>
      </c>
      <c r="E8" s="10" t="s">
        <v>56</v>
      </c>
      <c r="F8" s="10" t="s">
        <v>224</v>
      </c>
      <c r="G8" s="10" t="s">
        <v>212</v>
      </c>
      <c r="H8" s="10" t="s">
        <v>218</v>
      </c>
      <c r="I8" s="10" t="str">
        <f>IFERROR(INDEX(Subjects!$F$2:$F$82,MATCH(B8,Subjects!$A$2:$A$82,0)),"Not in register")</f>
        <v>Treatment A</v>
      </c>
      <c r="J8" s="10" t="str">
        <f>IF(I8="Not in register","Subject not in register",IF(D8&lt;INDEX(Subjects!$C$2:$C$82,MATCH(B8,Subjects!$A$2:$A$82,0)),"Onset before enrollment",IF(E8="","Severity missing",IF(AND(F8&lt;&gt;"Yes",F8&lt;&gt;"No"),"Seriousness missing","OK"))))</f>
        <v>OK</v>
      </c>
    </row>
    <row r="9" spans="1:10" x14ac:dyDescent="0.25">
      <c r="A9" s="10" t="s">
        <v>225</v>
      </c>
      <c r="B9" s="10" t="s">
        <v>165</v>
      </c>
      <c r="C9" s="10" t="s">
        <v>221</v>
      </c>
      <c r="D9" s="19">
        <v>46055</v>
      </c>
      <c r="E9" s="10" t="s">
        <v>55</v>
      </c>
      <c r="F9" s="10" t="s">
        <v>207</v>
      </c>
      <c r="G9" s="10" t="s">
        <v>208</v>
      </c>
      <c r="H9" s="10" t="s">
        <v>209</v>
      </c>
      <c r="I9" s="10" t="str">
        <f>IFERROR(INDEX(Subjects!$F$2:$F$82,MATCH(B9,Subjects!$A$2:$A$82,0)),"Not in register")</f>
        <v>Placebo</v>
      </c>
      <c r="J9" s="10" t="str">
        <f>IF(I9="Not in register","Subject not in register",IF(D9&lt;INDEX(Subjects!$C$2:$C$82,MATCH(B9,Subjects!$A$2:$A$82,0)),"Onset before enrollment",IF(E9="","Severity missing",IF(AND(F9&lt;&gt;"Yes",F9&lt;&gt;"No"),"Seriousness missing","OK"))))</f>
        <v>OK</v>
      </c>
    </row>
    <row r="10" spans="1:10" x14ac:dyDescent="0.25">
      <c r="A10" s="10" t="s">
        <v>226</v>
      </c>
      <c r="B10" s="10" t="s">
        <v>110</v>
      </c>
      <c r="C10" s="10" t="s">
        <v>221</v>
      </c>
      <c r="D10" s="19">
        <v>46059</v>
      </c>
      <c r="E10" s="10" t="s">
        <v>54</v>
      </c>
      <c r="F10" s="10" t="s">
        <v>207</v>
      </c>
      <c r="G10" s="10" t="s">
        <v>212</v>
      </c>
      <c r="H10" s="10" t="s">
        <v>215</v>
      </c>
      <c r="I10" s="10" t="str">
        <f>IFERROR(INDEX(Subjects!$F$2:$F$82,MATCH(B10,Subjects!$A$2:$A$82,0)),"Not in register")</f>
        <v>Placebo</v>
      </c>
      <c r="J10" s="10" t="str">
        <f>IF(I10="Not in register","Subject not in register",IF(D10&lt;INDEX(Subjects!$C$2:$C$82,MATCH(B10,Subjects!$A$2:$A$82,0)),"Onset before enrollment",IF(E10="","Severity missing",IF(AND(F10&lt;&gt;"Yes",F10&lt;&gt;"No"),"Seriousness missing","OK"))))</f>
        <v>OK</v>
      </c>
    </row>
    <row r="11" spans="1:10" x14ac:dyDescent="0.25">
      <c r="A11" s="10" t="s">
        <v>227</v>
      </c>
      <c r="B11" s="10" t="s">
        <v>167</v>
      </c>
      <c r="C11" s="10" t="s">
        <v>228</v>
      </c>
      <c r="D11" s="19">
        <v>46059</v>
      </c>
      <c r="E11" s="10" t="s">
        <v>54</v>
      </c>
      <c r="F11" s="10" t="s">
        <v>207</v>
      </c>
      <c r="G11" s="10" t="s">
        <v>208</v>
      </c>
      <c r="H11" s="10" t="s">
        <v>218</v>
      </c>
      <c r="I11" s="10" t="str">
        <f>IFERROR(INDEX(Subjects!$F$2:$F$82,MATCH(B11,Subjects!$A$2:$A$82,0)),"Not in register")</f>
        <v>Treatment A</v>
      </c>
      <c r="J11" s="10" t="str">
        <f>IF(I11="Not in register","Subject not in register",IF(D11&lt;INDEX(Subjects!$C$2:$C$82,MATCH(B11,Subjects!$A$2:$A$82,0)),"Onset before enrollment",IF(E11="","Severity missing",IF(AND(F11&lt;&gt;"Yes",F11&lt;&gt;"No"),"Seriousness missing","OK"))))</f>
        <v>OK</v>
      </c>
    </row>
    <row r="12" spans="1:10" x14ac:dyDescent="0.25">
      <c r="A12" s="10" t="s">
        <v>229</v>
      </c>
      <c r="B12" s="10" t="s">
        <v>144</v>
      </c>
      <c r="C12" s="10" t="s">
        <v>206</v>
      </c>
      <c r="D12" s="19">
        <v>46064</v>
      </c>
      <c r="E12" s="10" t="s">
        <v>54</v>
      </c>
      <c r="F12" s="10"/>
      <c r="G12" s="10" t="s">
        <v>208</v>
      </c>
      <c r="H12" s="10" t="s">
        <v>215</v>
      </c>
      <c r="I12" s="10" t="str">
        <f>IFERROR(INDEX(Subjects!$F$2:$F$82,MATCH(B12,Subjects!$A$2:$A$82,0)),"Not in register")</f>
        <v>Treatment A</v>
      </c>
      <c r="J12" s="10" t="str">
        <f>IF(I12="Not in register","Subject not in register",IF(D12&lt;INDEX(Subjects!$C$2:$C$82,MATCH(B12,Subjects!$A$2:$A$82,0)),"Onset before enrollment",IF(E12="","Severity missing",IF(AND(F12&lt;&gt;"Yes",F12&lt;&gt;"No"),"Seriousness missing","OK"))))</f>
        <v>Seriousness missing</v>
      </c>
    </row>
    <row r="13" spans="1:10" x14ac:dyDescent="0.25">
      <c r="A13" s="10" t="s">
        <v>230</v>
      </c>
      <c r="B13" s="10" t="s">
        <v>136</v>
      </c>
      <c r="C13" s="10" t="s">
        <v>217</v>
      </c>
      <c r="D13" s="19">
        <v>46068</v>
      </c>
      <c r="E13" s="10" t="s">
        <v>54</v>
      </c>
      <c r="F13" s="10" t="s">
        <v>207</v>
      </c>
      <c r="G13" s="10" t="s">
        <v>208</v>
      </c>
      <c r="H13" s="10" t="s">
        <v>209</v>
      </c>
      <c r="I13" s="10" t="str">
        <f>IFERROR(INDEX(Subjects!$F$2:$F$82,MATCH(B13,Subjects!$A$2:$A$82,0)),"Not in register")</f>
        <v>Treatment A</v>
      </c>
      <c r="J13" s="10" t="str">
        <f>IF(I13="Not in register","Subject not in register",IF(D13&lt;INDEX(Subjects!$C$2:$C$82,MATCH(B13,Subjects!$A$2:$A$82,0)),"Onset before enrollment",IF(E13="","Severity missing",IF(AND(F13&lt;&gt;"Yes",F13&lt;&gt;"No"),"Seriousness missing","OK"))))</f>
        <v>OK</v>
      </c>
    </row>
    <row r="14" spans="1:10" x14ac:dyDescent="0.25">
      <c r="A14" s="10" t="s">
        <v>231</v>
      </c>
      <c r="B14" s="10" t="s">
        <v>164</v>
      </c>
      <c r="C14" s="10" t="s">
        <v>221</v>
      </c>
      <c r="D14" s="19">
        <v>46068</v>
      </c>
      <c r="E14" s="10" t="s">
        <v>54</v>
      </c>
      <c r="F14" s="10" t="s">
        <v>207</v>
      </c>
      <c r="G14" s="10" t="s">
        <v>212</v>
      </c>
      <c r="H14" s="10" t="s">
        <v>218</v>
      </c>
      <c r="I14" s="10" t="str">
        <f>IFERROR(INDEX(Subjects!$F$2:$F$82,MATCH(B14,Subjects!$A$2:$A$82,0)),"Not in register")</f>
        <v>Treatment A</v>
      </c>
      <c r="J14" s="10" t="str">
        <f>IF(I14="Not in register","Subject not in register",IF(D14&lt;INDEX(Subjects!$C$2:$C$82,MATCH(B14,Subjects!$A$2:$A$82,0)),"Onset before enrollment",IF(E14="","Severity missing",IF(AND(F14&lt;&gt;"Yes",F14&lt;&gt;"No"),"Seriousness missing","OK"))))</f>
        <v>OK</v>
      </c>
    </row>
    <row r="15" spans="1:10" x14ac:dyDescent="0.25">
      <c r="A15" s="10" t="s">
        <v>232</v>
      </c>
      <c r="B15" s="10" t="s">
        <v>167</v>
      </c>
      <c r="C15" s="10" t="s">
        <v>228</v>
      </c>
      <c r="D15" s="19">
        <v>46070</v>
      </c>
      <c r="E15" s="10" t="s">
        <v>54</v>
      </c>
      <c r="F15" s="10" t="s">
        <v>207</v>
      </c>
      <c r="G15" s="10" t="s">
        <v>233</v>
      </c>
      <c r="H15" s="10" t="s">
        <v>215</v>
      </c>
      <c r="I15" s="10" t="str">
        <f>IFERROR(INDEX(Subjects!$F$2:$F$82,MATCH(B15,Subjects!$A$2:$A$82,0)),"Not in register")</f>
        <v>Treatment A</v>
      </c>
      <c r="J15" s="10" t="str">
        <f>IF(I15="Not in register","Subject not in register",IF(D15&lt;INDEX(Subjects!$C$2:$C$82,MATCH(B15,Subjects!$A$2:$A$82,0)),"Onset before enrollment",IF(E15="","Severity missing",IF(AND(F15&lt;&gt;"Yes",F15&lt;&gt;"No"),"Seriousness missing","OK"))))</f>
        <v>OK</v>
      </c>
    </row>
    <row r="16" spans="1:10" x14ac:dyDescent="0.25">
      <c r="A16" s="10" t="s">
        <v>234</v>
      </c>
      <c r="B16" s="10" t="s">
        <v>129</v>
      </c>
      <c r="C16" s="10" t="s">
        <v>223</v>
      </c>
      <c r="D16" s="19">
        <v>46071</v>
      </c>
      <c r="E16" s="10" t="s">
        <v>54</v>
      </c>
      <c r="F16" s="10" t="s">
        <v>207</v>
      </c>
      <c r="G16" s="10" t="s">
        <v>208</v>
      </c>
      <c r="H16" s="10" t="s">
        <v>218</v>
      </c>
      <c r="I16" s="10" t="str">
        <f>IFERROR(INDEX(Subjects!$F$2:$F$82,MATCH(B16,Subjects!$A$2:$A$82,0)),"Not in register")</f>
        <v>Treatment A</v>
      </c>
      <c r="J16" s="10" t="str">
        <f>IF(I16="Not in register","Subject not in register",IF(D16&lt;INDEX(Subjects!$C$2:$C$82,MATCH(B16,Subjects!$A$2:$A$82,0)),"Onset before enrollment",IF(E16="","Severity missing",IF(AND(F16&lt;&gt;"Yes",F16&lt;&gt;"No"),"Seriousness missing","OK"))))</f>
        <v>OK</v>
      </c>
    </row>
    <row r="17" spans="1:10" x14ac:dyDescent="0.25">
      <c r="A17" s="10" t="s">
        <v>235</v>
      </c>
      <c r="B17" s="10" t="s">
        <v>141</v>
      </c>
      <c r="C17" s="10" t="s">
        <v>211</v>
      </c>
      <c r="D17" s="19">
        <v>46078</v>
      </c>
      <c r="E17" s="10" t="s">
        <v>54</v>
      </c>
      <c r="F17" s="10" t="s">
        <v>207</v>
      </c>
      <c r="G17" s="10" t="s">
        <v>208</v>
      </c>
      <c r="H17" s="10" t="s">
        <v>218</v>
      </c>
      <c r="I17" s="10" t="str">
        <f>IFERROR(INDEX(Subjects!$F$2:$F$82,MATCH(B17,Subjects!$A$2:$A$82,0)),"Not in register")</f>
        <v>Treatment A</v>
      </c>
      <c r="J17" s="10" t="str">
        <f>IF(I17="Not in register","Subject not in register",IF(D17&lt;INDEX(Subjects!$C$2:$C$82,MATCH(B17,Subjects!$A$2:$A$82,0)),"Onset before enrollment",IF(E17="","Severity missing",IF(AND(F17&lt;&gt;"Yes",F17&lt;&gt;"No"),"Seriousness missing","OK"))))</f>
        <v>OK</v>
      </c>
    </row>
    <row r="18" spans="1:10" x14ac:dyDescent="0.25">
      <c r="A18" s="10" t="s">
        <v>236</v>
      </c>
      <c r="B18" s="10" t="s">
        <v>139</v>
      </c>
      <c r="C18" s="10" t="s">
        <v>206</v>
      </c>
      <c r="D18" s="19">
        <v>46078</v>
      </c>
      <c r="E18" s="10" t="s">
        <v>56</v>
      </c>
      <c r="F18" s="10" t="s">
        <v>224</v>
      </c>
      <c r="G18" s="10" t="s">
        <v>233</v>
      </c>
      <c r="H18" s="10" t="s">
        <v>209</v>
      </c>
      <c r="I18" s="10" t="str">
        <f>IFERROR(INDEX(Subjects!$F$2:$F$82,MATCH(B18,Subjects!$A$2:$A$82,0)),"Not in register")</f>
        <v>Placebo</v>
      </c>
      <c r="J18" s="10" t="str">
        <f>IF(I18="Not in register","Subject not in register",IF(D18&lt;INDEX(Subjects!$C$2:$C$82,MATCH(B18,Subjects!$A$2:$A$82,0)),"Onset before enrollment",IF(E18="","Severity missing",IF(AND(F18&lt;&gt;"Yes",F18&lt;&gt;"No"),"Seriousness missing","OK"))))</f>
        <v>OK</v>
      </c>
    </row>
    <row r="19" spans="1:10" x14ac:dyDescent="0.25">
      <c r="A19" s="10" t="s">
        <v>237</v>
      </c>
      <c r="B19" s="10" t="s">
        <v>157</v>
      </c>
      <c r="C19" s="10" t="s">
        <v>221</v>
      </c>
      <c r="D19" s="19">
        <v>46079</v>
      </c>
      <c r="E19" s="10" t="s">
        <v>54</v>
      </c>
      <c r="F19" s="10" t="s">
        <v>207</v>
      </c>
      <c r="G19" s="10" t="s">
        <v>233</v>
      </c>
      <c r="H19" s="10" t="s">
        <v>209</v>
      </c>
      <c r="I19" s="10" t="str">
        <f>IFERROR(INDEX(Subjects!$F$2:$F$82,MATCH(B19,Subjects!$A$2:$A$82,0)),"Not in register")</f>
        <v>Treatment A</v>
      </c>
      <c r="J19" s="10" t="str">
        <f>IF(I19="Not in register","Subject not in register",IF(D19&lt;INDEX(Subjects!$C$2:$C$82,MATCH(B19,Subjects!$A$2:$A$82,0)),"Onset before enrollment",IF(E19="","Severity missing",IF(AND(F19&lt;&gt;"Yes",F19&lt;&gt;"No"),"Seriousness missing","OK"))))</f>
        <v>OK</v>
      </c>
    </row>
    <row r="20" spans="1:10" x14ac:dyDescent="0.25">
      <c r="A20" s="10" t="s">
        <v>238</v>
      </c>
      <c r="B20" s="10" t="s">
        <v>135</v>
      </c>
      <c r="C20" s="10" t="s">
        <v>228</v>
      </c>
      <c r="D20" s="19">
        <v>46080</v>
      </c>
      <c r="E20" s="10" t="s">
        <v>54</v>
      </c>
      <c r="F20" s="10" t="s">
        <v>207</v>
      </c>
      <c r="G20" s="10" t="s">
        <v>208</v>
      </c>
      <c r="H20" s="10" t="s">
        <v>213</v>
      </c>
      <c r="I20" s="10" t="str">
        <f>IFERROR(INDEX(Subjects!$F$2:$F$82,MATCH(B20,Subjects!$A$2:$A$82,0)),"Not in register")</f>
        <v>Placebo</v>
      </c>
      <c r="J20" s="10" t="str">
        <f>IF(I20="Not in register","Subject not in register",IF(D20&lt;INDEX(Subjects!$C$2:$C$82,MATCH(B20,Subjects!$A$2:$A$82,0)),"Onset before enrollment",IF(E20="","Severity missing",IF(AND(F20&lt;&gt;"Yes",F20&lt;&gt;"No"),"Seriousness missing","OK"))))</f>
        <v>OK</v>
      </c>
    </row>
    <row r="21" spans="1:10" x14ac:dyDescent="0.25">
      <c r="A21" s="10" t="s">
        <v>239</v>
      </c>
      <c r="B21" s="10" t="s">
        <v>177</v>
      </c>
      <c r="C21" s="10" t="s">
        <v>221</v>
      </c>
      <c r="D21" s="19">
        <v>46083</v>
      </c>
      <c r="E21" s="10" t="s">
        <v>54</v>
      </c>
      <c r="F21" s="10" t="s">
        <v>224</v>
      </c>
      <c r="G21" s="10" t="s">
        <v>208</v>
      </c>
      <c r="H21" s="10" t="s">
        <v>218</v>
      </c>
      <c r="I21" s="10" t="str">
        <f>IFERROR(INDEX(Subjects!$F$2:$F$82,MATCH(B21,Subjects!$A$2:$A$82,0)),"Not in register")</f>
        <v>Treatment A</v>
      </c>
      <c r="J21" s="10" t="str">
        <f>IF(I21="Not in register","Subject not in register",IF(D21&lt;INDEX(Subjects!$C$2:$C$82,MATCH(B21,Subjects!$A$2:$A$82,0)),"Onset before enrollment",IF(E21="","Severity missing",IF(AND(F21&lt;&gt;"Yes",F21&lt;&gt;"No"),"Seriousness missing","OK"))))</f>
        <v>OK</v>
      </c>
    </row>
    <row r="22" spans="1:10" x14ac:dyDescent="0.25">
      <c r="A22" s="10" t="s">
        <v>240</v>
      </c>
      <c r="B22" s="10" t="s">
        <v>159</v>
      </c>
      <c r="C22" s="10" t="s">
        <v>217</v>
      </c>
      <c r="D22" s="19">
        <v>46085</v>
      </c>
      <c r="E22" s="10" t="s">
        <v>55</v>
      </c>
      <c r="F22" s="10" t="s">
        <v>207</v>
      </c>
      <c r="G22" s="10" t="s">
        <v>233</v>
      </c>
      <c r="H22" s="10" t="s">
        <v>218</v>
      </c>
      <c r="I22" s="10" t="str">
        <f>IFERROR(INDEX(Subjects!$F$2:$F$82,MATCH(B22,Subjects!$A$2:$A$82,0)),"Not in register")</f>
        <v>Treatment A</v>
      </c>
      <c r="J22" s="10" t="str">
        <f>IF(I22="Not in register","Subject not in register",IF(D22&lt;INDEX(Subjects!$C$2:$C$82,MATCH(B22,Subjects!$A$2:$A$82,0)),"Onset before enrollment",IF(E22="","Severity missing",IF(AND(F22&lt;&gt;"Yes",F22&lt;&gt;"No"),"Seriousness missing","OK"))))</f>
        <v>OK</v>
      </c>
    </row>
    <row r="23" spans="1:10" x14ac:dyDescent="0.25">
      <c r="A23" s="10" t="s">
        <v>241</v>
      </c>
      <c r="B23" s="10" t="s">
        <v>134</v>
      </c>
      <c r="C23" s="10" t="s">
        <v>221</v>
      </c>
      <c r="D23" s="19">
        <v>46085</v>
      </c>
      <c r="E23" s="10" t="s">
        <v>54</v>
      </c>
      <c r="F23" s="10" t="s">
        <v>207</v>
      </c>
      <c r="G23" s="10" t="s">
        <v>208</v>
      </c>
      <c r="H23" s="10" t="s">
        <v>209</v>
      </c>
      <c r="I23" s="10" t="str">
        <f>IFERROR(INDEX(Subjects!$F$2:$F$82,MATCH(B23,Subjects!$A$2:$A$82,0)),"Not in register")</f>
        <v>Placebo</v>
      </c>
      <c r="J23" s="10" t="str">
        <f>IF(I23="Not in register","Subject not in register",IF(D23&lt;INDEX(Subjects!$C$2:$C$82,MATCH(B23,Subjects!$A$2:$A$82,0)),"Onset before enrollment",IF(E23="","Severity missing",IF(AND(F23&lt;&gt;"Yes",F23&lt;&gt;"No"),"Seriousness missing","OK"))))</f>
        <v>OK</v>
      </c>
    </row>
    <row r="24" spans="1:10" x14ac:dyDescent="0.25">
      <c r="A24" s="10" t="s">
        <v>242</v>
      </c>
      <c r="B24" s="10" t="s">
        <v>147</v>
      </c>
      <c r="C24" s="10" t="s">
        <v>221</v>
      </c>
      <c r="D24" s="19">
        <v>46085</v>
      </c>
      <c r="E24" s="10" t="s">
        <v>56</v>
      </c>
      <c r="F24" s="10" t="s">
        <v>207</v>
      </c>
      <c r="G24" s="10" t="s">
        <v>212</v>
      </c>
      <c r="H24" s="10" t="s">
        <v>215</v>
      </c>
      <c r="I24" s="10" t="str">
        <f>IFERROR(INDEX(Subjects!$F$2:$F$82,MATCH(B24,Subjects!$A$2:$A$82,0)),"Not in register")</f>
        <v>Treatment A</v>
      </c>
      <c r="J24" s="10" t="str">
        <f>IF(I24="Not in register","Subject not in register",IF(D24&lt;INDEX(Subjects!$C$2:$C$82,MATCH(B24,Subjects!$A$2:$A$82,0)),"Onset before enrollment",IF(E24="","Severity missing",IF(AND(F24&lt;&gt;"Yes",F24&lt;&gt;"No"),"Seriousness missing","OK"))))</f>
        <v>OK</v>
      </c>
    </row>
    <row r="25" spans="1:10" x14ac:dyDescent="0.25">
      <c r="A25" s="10" t="s">
        <v>243</v>
      </c>
      <c r="B25" s="10" t="s">
        <v>147</v>
      </c>
      <c r="C25" s="10" t="s">
        <v>217</v>
      </c>
      <c r="D25" s="19">
        <v>46022</v>
      </c>
      <c r="E25" s="10" t="s">
        <v>56</v>
      </c>
      <c r="F25" s="10" t="s">
        <v>207</v>
      </c>
      <c r="G25" s="10" t="s">
        <v>233</v>
      </c>
      <c r="H25" s="10" t="s">
        <v>209</v>
      </c>
      <c r="I25" s="10" t="str">
        <f>IFERROR(INDEX(Subjects!$F$2:$F$82,MATCH(B25,Subjects!$A$2:$A$82,0)),"Not in register")</f>
        <v>Treatment A</v>
      </c>
      <c r="J25" s="10" t="str">
        <f>IF(I25="Not in register","Subject not in register",IF(D25&lt;INDEX(Subjects!$C$2:$C$82,MATCH(B25,Subjects!$A$2:$A$82,0)),"Onset before enrollment",IF(E25="","Severity missing",IF(AND(F25&lt;&gt;"Yes",F25&lt;&gt;"No"),"Seriousness missing","OK"))))</f>
        <v>Onset before enrollment</v>
      </c>
    </row>
    <row r="26" spans="1:10" x14ac:dyDescent="0.25">
      <c r="A26" s="10" t="s">
        <v>244</v>
      </c>
      <c r="B26" s="10" t="s">
        <v>169</v>
      </c>
      <c r="C26" s="10" t="s">
        <v>211</v>
      </c>
      <c r="D26" s="19">
        <v>46086</v>
      </c>
      <c r="E26" s="10" t="s">
        <v>54</v>
      </c>
      <c r="F26" s="10" t="s">
        <v>207</v>
      </c>
      <c r="G26" s="10" t="s">
        <v>208</v>
      </c>
      <c r="H26" s="10" t="s">
        <v>209</v>
      </c>
      <c r="I26" s="10">
        <f>IFERROR(INDEX(Subjects!$F$2:$F$82,MATCH(B26,Subjects!$A$2:$A$82,0)),"Not in register")</f>
        <v>0</v>
      </c>
      <c r="J26" s="10" t="str">
        <f>IF(I26="Not in register","Subject not in register",IF(D26&lt;INDEX(Subjects!$C$2:$C$82,MATCH(B26,Subjects!$A$2:$A$82,0)),"Onset before enrollment",IF(E26="","Severity missing",IF(AND(F26&lt;&gt;"Yes",F26&lt;&gt;"No"),"Seriousness missing","OK"))))</f>
        <v>OK</v>
      </c>
    </row>
    <row r="27" spans="1:10" x14ac:dyDescent="0.25">
      <c r="A27" s="10" t="s">
        <v>245</v>
      </c>
      <c r="B27" s="10" t="s">
        <v>152</v>
      </c>
      <c r="C27" s="10" t="s">
        <v>206</v>
      </c>
      <c r="D27" s="19">
        <v>46086</v>
      </c>
      <c r="E27" s="10" t="s">
        <v>56</v>
      </c>
      <c r="F27" s="10" t="s">
        <v>207</v>
      </c>
      <c r="G27" s="10" t="s">
        <v>212</v>
      </c>
      <c r="H27" s="10" t="s">
        <v>209</v>
      </c>
      <c r="I27" s="10" t="str">
        <f>IFERROR(INDEX(Subjects!$F$2:$F$82,MATCH(B27,Subjects!$A$2:$A$82,0)),"Not in register")</f>
        <v>Treatment A</v>
      </c>
      <c r="J27" s="10" t="str">
        <f>IF(I27="Not in register","Subject not in register",IF(D27&lt;INDEX(Subjects!$C$2:$C$82,MATCH(B27,Subjects!$A$2:$A$82,0)),"Onset before enrollment",IF(E27="","Severity missing",IF(AND(F27&lt;&gt;"Yes",F27&lt;&gt;"No"),"Seriousness missing","OK"))))</f>
        <v>OK</v>
      </c>
    </row>
    <row r="28" spans="1:10" x14ac:dyDescent="0.25">
      <c r="A28" s="10" t="s">
        <v>246</v>
      </c>
      <c r="B28" s="10" t="s">
        <v>155</v>
      </c>
      <c r="C28" s="10" t="s">
        <v>217</v>
      </c>
      <c r="D28" s="19">
        <v>46088</v>
      </c>
      <c r="E28" s="10" t="s">
        <v>54</v>
      </c>
      <c r="F28" s="10" t="s">
        <v>207</v>
      </c>
      <c r="G28" s="10" t="s">
        <v>212</v>
      </c>
      <c r="H28" s="10" t="s">
        <v>218</v>
      </c>
      <c r="I28" s="10" t="str">
        <f>IFERROR(INDEX(Subjects!$F$2:$F$82,MATCH(B28,Subjects!$A$2:$A$82,0)),"Not in register")</f>
        <v>Placebo</v>
      </c>
      <c r="J28" s="10" t="str">
        <f>IF(I28="Not in register","Subject not in register",IF(D28&lt;INDEX(Subjects!$C$2:$C$82,MATCH(B28,Subjects!$A$2:$A$82,0)),"Onset before enrollment",IF(E28="","Severity missing",IF(AND(F28&lt;&gt;"Yes",F28&lt;&gt;"No"),"Seriousness missing","OK"))))</f>
        <v>OK</v>
      </c>
    </row>
    <row r="29" spans="1:10" x14ac:dyDescent="0.25">
      <c r="A29" s="10" t="s">
        <v>247</v>
      </c>
      <c r="B29" s="10" t="s">
        <v>142</v>
      </c>
      <c r="C29" s="10" t="s">
        <v>223</v>
      </c>
      <c r="D29" s="19">
        <v>46088</v>
      </c>
      <c r="E29" s="10" t="s">
        <v>54</v>
      </c>
      <c r="F29" s="10" t="s">
        <v>207</v>
      </c>
      <c r="G29" s="10" t="s">
        <v>212</v>
      </c>
      <c r="H29" s="10" t="s">
        <v>215</v>
      </c>
      <c r="I29" s="10" t="str">
        <f>IFERROR(INDEX(Subjects!$F$2:$F$82,MATCH(B29,Subjects!$A$2:$A$82,0)),"Not in register")</f>
        <v>Placebo</v>
      </c>
      <c r="J29" s="10" t="str">
        <f>IF(I29="Not in register","Subject not in register",IF(D29&lt;INDEX(Subjects!$C$2:$C$82,MATCH(B29,Subjects!$A$2:$A$82,0)),"Onset before enrollment",IF(E29="","Severity missing",IF(AND(F29&lt;&gt;"Yes",F29&lt;&gt;"No"),"Seriousness missing","OK"))))</f>
        <v>OK</v>
      </c>
    </row>
    <row r="30" spans="1:10" x14ac:dyDescent="0.25">
      <c r="A30" s="10" t="s">
        <v>248</v>
      </c>
      <c r="B30" s="10" t="s">
        <v>140</v>
      </c>
      <c r="C30" s="10" t="s">
        <v>228</v>
      </c>
      <c r="D30" s="19">
        <v>46088</v>
      </c>
      <c r="E30" s="10" t="s">
        <v>54</v>
      </c>
      <c r="F30" s="10" t="s">
        <v>207</v>
      </c>
      <c r="G30" s="10" t="s">
        <v>212</v>
      </c>
      <c r="H30" s="10" t="s">
        <v>215</v>
      </c>
      <c r="I30" s="10" t="str">
        <f>IFERROR(INDEX(Subjects!$F$2:$F$82,MATCH(B30,Subjects!$A$2:$A$82,0)),"Not in register")</f>
        <v>Placebo</v>
      </c>
      <c r="J30" s="10" t="str">
        <f>IF(I30="Not in register","Subject not in register",IF(D30&lt;INDEX(Subjects!$C$2:$C$82,MATCH(B30,Subjects!$A$2:$A$82,0)),"Onset before enrollment",IF(E30="","Severity missing",IF(AND(F30&lt;&gt;"Yes",F30&lt;&gt;"No"),"Seriousness missing","OK"))))</f>
        <v>OK</v>
      </c>
    </row>
    <row r="31" spans="1:10" x14ac:dyDescent="0.25">
      <c r="A31" s="10" t="s">
        <v>249</v>
      </c>
      <c r="B31" s="10" t="s">
        <v>127</v>
      </c>
      <c r="C31" s="10" t="s">
        <v>211</v>
      </c>
      <c r="D31" s="19">
        <v>46089</v>
      </c>
      <c r="E31" s="10" t="s">
        <v>55</v>
      </c>
      <c r="F31" s="10" t="s">
        <v>207</v>
      </c>
      <c r="G31" s="10" t="s">
        <v>212</v>
      </c>
      <c r="H31" s="10" t="s">
        <v>215</v>
      </c>
      <c r="I31" s="10" t="str">
        <f>IFERROR(INDEX(Subjects!$F$2:$F$82,MATCH(B31,Subjects!$A$2:$A$82,0)),"Not in register")</f>
        <v>Treatment A</v>
      </c>
      <c r="J31" s="10" t="str">
        <f>IF(I31="Not in register","Subject not in register",IF(D31&lt;INDEX(Subjects!$C$2:$C$82,MATCH(B31,Subjects!$A$2:$A$82,0)),"Onset before enrollment",IF(E31="","Severity missing",IF(AND(F31&lt;&gt;"Yes",F31&lt;&gt;"No"),"Seriousness missing","OK"))))</f>
        <v>OK</v>
      </c>
    </row>
    <row r="32" spans="1:10" x14ac:dyDescent="0.25">
      <c r="A32" s="10" t="s">
        <v>250</v>
      </c>
      <c r="B32" s="10" t="s">
        <v>166</v>
      </c>
      <c r="C32" s="10" t="s">
        <v>223</v>
      </c>
      <c r="D32" s="19">
        <v>46089</v>
      </c>
      <c r="E32" s="10" t="s">
        <v>54</v>
      </c>
      <c r="F32" s="10" t="s">
        <v>207</v>
      </c>
      <c r="G32" s="10" t="s">
        <v>233</v>
      </c>
      <c r="H32" s="10" t="s">
        <v>218</v>
      </c>
      <c r="I32" s="10" t="str">
        <f>IFERROR(INDEX(Subjects!$F$2:$F$82,MATCH(B32,Subjects!$A$2:$A$82,0)),"Not in register")</f>
        <v>Placebo</v>
      </c>
      <c r="J32" s="10" t="str">
        <f>IF(I32="Not in register","Subject not in register",IF(D32&lt;INDEX(Subjects!$C$2:$C$82,MATCH(B32,Subjects!$A$2:$A$82,0)),"Onset before enrollment",IF(E32="","Severity missing",IF(AND(F32&lt;&gt;"Yes",F32&lt;&gt;"No"),"Seriousness missing","OK"))))</f>
        <v>OK</v>
      </c>
    </row>
    <row r="33" spans="1:10" x14ac:dyDescent="0.25">
      <c r="A33" s="10" t="s">
        <v>251</v>
      </c>
      <c r="B33" s="10" t="s">
        <v>139</v>
      </c>
      <c r="C33" s="10" t="s">
        <v>217</v>
      </c>
      <c r="D33" s="19">
        <v>46090</v>
      </c>
      <c r="E33" s="10" t="s">
        <v>54</v>
      </c>
      <c r="F33" s="10" t="s">
        <v>207</v>
      </c>
      <c r="G33" s="10" t="s">
        <v>212</v>
      </c>
      <c r="H33" s="10" t="s">
        <v>218</v>
      </c>
      <c r="I33" s="10" t="str">
        <f>IFERROR(INDEX(Subjects!$F$2:$F$82,MATCH(B33,Subjects!$A$2:$A$82,0)),"Not in register")</f>
        <v>Placebo</v>
      </c>
      <c r="J33" s="10" t="str">
        <f>IF(I33="Not in register","Subject not in register",IF(D33&lt;INDEX(Subjects!$C$2:$C$82,MATCH(B33,Subjects!$A$2:$A$82,0)),"Onset before enrollment",IF(E33="","Severity missing",IF(AND(F33&lt;&gt;"Yes",F33&lt;&gt;"No"),"Seriousness missing","OK"))))</f>
        <v>OK</v>
      </c>
    </row>
    <row r="34" spans="1:10" x14ac:dyDescent="0.25">
      <c r="A34" s="10" t="s">
        <v>252</v>
      </c>
      <c r="B34" s="10" t="s">
        <v>157</v>
      </c>
      <c r="C34" s="10" t="s">
        <v>228</v>
      </c>
      <c r="D34" s="19">
        <v>46091</v>
      </c>
      <c r="E34" s="10" t="s">
        <v>56</v>
      </c>
      <c r="F34" s="10" t="s">
        <v>224</v>
      </c>
      <c r="G34" s="10" t="s">
        <v>208</v>
      </c>
      <c r="H34" s="10" t="s">
        <v>218</v>
      </c>
      <c r="I34" s="10" t="str">
        <f>IFERROR(INDEX(Subjects!$F$2:$F$82,MATCH(B34,Subjects!$A$2:$A$82,0)),"Not in register")</f>
        <v>Treatment A</v>
      </c>
      <c r="J34" s="10" t="str">
        <f>IF(I34="Not in register","Subject not in register",IF(D34&lt;INDEX(Subjects!$C$2:$C$82,MATCH(B34,Subjects!$A$2:$A$82,0)),"Onset before enrollment",IF(E34="","Severity missing",IF(AND(F34&lt;&gt;"Yes",F34&lt;&gt;"No"),"Seriousness missing","OK"))))</f>
        <v>OK</v>
      </c>
    </row>
    <row r="35" spans="1:10" x14ac:dyDescent="0.25">
      <c r="A35" s="10" t="s">
        <v>253</v>
      </c>
      <c r="B35" s="10" t="s">
        <v>174</v>
      </c>
      <c r="C35" s="10" t="s">
        <v>221</v>
      </c>
      <c r="D35" s="19">
        <v>46092</v>
      </c>
      <c r="E35" s="10" t="s">
        <v>54</v>
      </c>
      <c r="F35" s="10" t="s">
        <v>207</v>
      </c>
      <c r="G35" s="10" t="s">
        <v>212</v>
      </c>
      <c r="H35" s="10" t="s">
        <v>218</v>
      </c>
      <c r="I35" s="10" t="str">
        <f>IFERROR(INDEX(Subjects!$F$2:$F$82,MATCH(B35,Subjects!$A$2:$A$82,0)),"Not in register")</f>
        <v>Placebo</v>
      </c>
      <c r="J35" s="10" t="str">
        <f>IF(I35="Not in register","Subject not in register",IF(D35&lt;INDEX(Subjects!$C$2:$C$82,MATCH(B35,Subjects!$A$2:$A$82,0)),"Onset before enrollment",IF(E35="","Severity missing",IF(AND(F35&lt;&gt;"Yes",F35&lt;&gt;"No"),"Seriousness missing","OK"))))</f>
        <v>OK</v>
      </c>
    </row>
    <row r="36" spans="1:10" x14ac:dyDescent="0.25">
      <c r="A36" s="10" t="s">
        <v>254</v>
      </c>
      <c r="B36" s="10" t="s">
        <v>113</v>
      </c>
      <c r="C36" s="10" t="s">
        <v>206</v>
      </c>
      <c r="D36" s="19">
        <v>46093</v>
      </c>
      <c r="E36" s="10" t="s">
        <v>54</v>
      </c>
      <c r="F36" s="10" t="s">
        <v>207</v>
      </c>
      <c r="G36" s="10" t="s">
        <v>212</v>
      </c>
      <c r="H36" s="10" t="s">
        <v>218</v>
      </c>
      <c r="I36" s="10" t="str">
        <f>IFERROR(INDEX(Subjects!$F$2:$F$82,MATCH(B36,Subjects!$A$2:$A$82,0)),"Not in register")</f>
        <v>Treatment A</v>
      </c>
      <c r="J36" s="10" t="str">
        <f>IF(I36="Not in register","Subject not in register",IF(D36&lt;INDEX(Subjects!$C$2:$C$82,MATCH(B36,Subjects!$A$2:$A$82,0)),"Onset before enrollment",IF(E36="","Severity missing",IF(AND(F36&lt;&gt;"Yes",F36&lt;&gt;"No"),"Seriousness missing","OK"))))</f>
        <v>OK</v>
      </c>
    </row>
    <row r="37" spans="1:10" x14ac:dyDescent="0.25">
      <c r="A37" s="10" t="s">
        <v>255</v>
      </c>
      <c r="B37" s="10" t="s">
        <v>146</v>
      </c>
      <c r="C37" s="10" t="s">
        <v>217</v>
      </c>
      <c r="D37" s="19">
        <v>46094</v>
      </c>
      <c r="E37" s="10" t="s">
        <v>55</v>
      </c>
      <c r="F37" s="10" t="s">
        <v>207</v>
      </c>
      <c r="G37" s="10" t="s">
        <v>233</v>
      </c>
      <c r="H37" s="10" t="s">
        <v>218</v>
      </c>
      <c r="I37" s="10" t="str">
        <f>IFERROR(INDEX(Subjects!$F$2:$F$82,MATCH(B37,Subjects!$A$2:$A$82,0)),"Not in register")</f>
        <v>Treatment A</v>
      </c>
      <c r="J37" s="10" t="str">
        <f>IF(I37="Not in register","Subject not in register",IF(D37&lt;INDEX(Subjects!$C$2:$C$82,MATCH(B37,Subjects!$A$2:$A$82,0)),"Onset before enrollment",IF(E37="","Severity missing",IF(AND(F37&lt;&gt;"Yes",F37&lt;&gt;"No"),"Seriousness missing","OK"))))</f>
        <v>OK</v>
      </c>
    </row>
    <row r="38" spans="1:10" x14ac:dyDescent="0.25">
      <c r="A38" s="10" t="s">
        <v>256</v>
      </c>
      <c r="B38" s="10" t="s">
        <v>150</v>
      </c>
      <c r="C38" s="10" t="s">
        <v>206</v>
      </c>
      <c r="D38" s="19">
        <v>46094</v>
      </c>
      <c r="E38" s="10" t="s">
        <v>56</v>
      </c>
      <c r="F38" s="10" t="s">
        <v>224</v>
      </c>
      <c r="G38" s="10" t="s">
        <v>212</v>
      </c>
      <c r="H38" s="10" t="s">
        <v>218</v>
      </c>
      <c r="I38" s="10" t="str">
        <f>IFERROR(INDEX(Subjects!$F$2:$F$82,MATCH(B38,Subjects!$A$2:$A$82,0)),"Not in register")</f>
        <v>Treatment A</v>
      </c>
      <c r="J38" s="10" t="str">
        <f>IF(I38="Not in register","Subject not in register",IF(D38&lt;INDEX(Subjects!$C$2:$C$82,MATCH(B38,Subjects!$A$2:$A$82,0)),"Onset before enrollment",IF(E38="","Severity missing",IF(AND(F38&lt;&gt;"Yes",F38&lt;&gt;"No"),"Seriousness missing","OK"))))</f>
        <v>OK</v>
      </c>
    </row>
    <row r="39" spans="1:10" x14ac:dyDescent="0.25">
      <c r="A39" s="10" t="s">
        <v>257</v>
      </c>
      <c r="B39" s="10" t="s">
        <v>113</v>
      </c>
      <c r="C39" s="10" t="s">
        <v>206</v>
      </c>
      <c r="D39" s="19">
        <v>46096</v>
      </c>
      <c r="E39" s="10" t="s">
        <v>54</v>
      </c>
      <c r="F39" s="10" t="s">
        <v>207</v>
      </c>
      <c r="G39" s="10" t="s">
        <v>208</v>
      </c>
      <c r="H39" s="10" t="s">
        <v>218</v>
      </c>
      <c r="I39" s="10" t="str">
        <f>IFERROR(INDEX(Subjects!$F$2:$F$82,MATCH(B39,Subjects!$A$2:$A$82,0)),"Not in register")</f>
        <v>Treatment A</v>
      </c>
      <c r="J39" s="10" t="str">
        <f>IF(I39="Not in register","Subject not in register",IF(D39&lt;INDEX(Subjects!$C$2:$C$82,MATCH(B39,Subjects!$A$2:$A$82,0)),"Onset before enrollment",IF(E39="","Severity missing",IF(AND(F39&lt;&gt;"Yes",F39&lt;&gt;"No"),"Seriousness missing","OK"))))</f>
        <v>OK</v>
      </c>
    </row>
    <row r="40" spans="1:10" x14ac:dyDescent="0.25">
      <c r="A40" s="10" t="s">
        <v>258</v>
      </c>
      <c r="B40" s="10" t="s">
        <v>160</v>
      </c>
      <c r="C40" s="10" t="s">
        <v>223</v>
      </c>
      <c r="D40" s="19">
        <v>46100</v>
      </c>
      <c r="E40" s="10" t="s">
        <v>54</v>
      </c>
      <c r="F40" s="10" t="s">
        <v>207</v>
      </c>
      <c r="G40" s="10" t="s">
        <v>212</v>
      </c>
      <c r="H40" s="10" t="s">
        <v>213</v>
      </c>
      <c r="I40" s="10" t="str">
        <f>IFERROR(INDEX(Subjects!$F$2:$F$82,MATCH(B40,Subjects!$A$2:$A$82,0)),"Not in register")</f>
        <v>Placebo</v>
      </c>
      <c r="J40" s="10" t="str">
        <f>IF(I40="Not in register","Subject not in register",IF(D40&lt;INDEX(Subjects!$C$2:$C$82,MATCH(B40,Subjects!$A$2:$A$82,0)),"Onset before enrollment",IF(E40="","Severity missing",IF(AND(F40&lt;&gt;"Yes",F40&lt;&gt;"No"),"Seriousness missing","OK"))))</f>
        <v>OK</v>
      </c>
    </row>
    <row r="41" spans="1:10" x14ac:dyDescent="0.25">
      <c r="A41" s="10" t="s">
        <v>259</v>
      </c>
      <c r="B41" s="10" t="s">
        <v>198</v>
      </c>
      <c r="C41" s="10" t="s">
        <v>228</v>
      </c>
      <c r="D41" s="19">
        <v>46100</v>
      </c>
      <c r="E41" s="10" t="s">
        <v>55</v>
      </c>
      <c r="F41" s="10" t="s">
        <v>207</v>
      </c>
      <c r="G41" s="10" t="s">
        <v>208</v>
      </c>
      <c r="H41" s="10" t="s">
        <v>209</v>
      </c>
      <c r="I41" s="10" t="str">
        <f>IFERROR(INDEX(Subjects!$F$2:$F$82,MATCH(B41,Subjects!$A$2:$A$82,0)),"Not in register")</f>
        <v>Not in register</v>
      </c>
      <c r="J41" s="10" t="str">
        <f>IF(I41="Not in register","Subject not in register",IF(D41&lt;INDEX(Subjects!$C$2:$C$82,MATCH(B41,Subjects!$A$2:$A$82,0)),"Onset before enrollment",IF(E41="","Severity missing",IF(AND(F41&lt;&gt;"Yes",F41&lt;&gt;"No"),"Seriousness missing","OK"))))</f>
        <v>Subject not in register</v>
      </c>
    </row>
    <row r="42" spans="1:10" x14ac:dyDescent="0.25">
      <c r="A42" s="10" t="s">
        <v>260</v>
      </c>
      <c r="B42" s="10" t="s">
        <v>182</v>
      </c>
      <c r="C42" s="10" t="s">
        <v>223</v>
      </c>
      <c r="D42" s="19">
        <v>46101</v>
      </c>
      <c r="E42" s="10" t="s">
        <v>54</v>
      </c>
      <c r="F42" s="10" t="s">
        <v>207</v>
      </c>
      <c r="G42" s="10" t="s">
        <v>212</v>
      </c>
      <c r="H42" s="10" t="s">
        <v>215</v>
      </c>
      <c r="I42" s="10" t="str">
        <f>IFERROR(INDEX(Subjects!$F$2:$F$82,MATCH(B42,Subjects!$A$2:$A$82,0)),"Not in register")</f>
        <v>Placebo</v>
      </c>
      <c r="J42" s="10" t="str">
        <f>IF(I42="Not in register","Subject not in register",IF(D42&lt;INDEX(Subjects!$C$2:$C$82,MATCH(B42,Subjects!$A$2:$A$82,0)),"Onset before enrollment",IF(E42="","Severity missing",IF(AND(F42&lt;&gt;"Yes",F42&lt;&gt;"No"),"Seriousness missing","OK"))))</f>
        <v>OK</v>
      </c>
    </row>
    <row r="43" spans="1:10" x14ac:dyDescent="0.25">
      <c r="A43" s="10" t="s">
        <v>261</v>
      </c>
      <c r="B43" s="10" t="s">
        <v>164</v>
      </c>
      <c r="C43" s="10" t="s">
        <v>223</v>
      </c>
      <c r="D43" s="19">
        <v>46101</v>
      </c>
      <c r="E43" s="10" t="s">
        <v>56</v>
      </c>
      <c r="F43" s="10" t="s">
        <v>207</v>
      </c>
      <c r="G43" s="10" t="s">
        <v>212</v>
      </c>
      <c r="H43" s="10" t="s">
        <v>215</v>
      </c>
      <c r="I43" s="10" t="str">
        <f>IFERROR(INDEX(Subjects!$F$2:$F$82,MATCH(B43,Subjects!$A$2:$A$82,0)),"Not in register")</f>
        <v>Treatment A</v>
      </c>
      <c r="J43" s="10" t="str">
        <f>IF(I43="Not in register","Subject not in register",IF(D43&lt;INDEX(Subjects!$C$2:$C$82,MATCH(B43,Subjects!$A$2:$A$82,0)),"Onset before enrollment",IF(E43="","Severity missing",IF(AND(F43&lt;&gt;"Yes",F43&lt;&gt;"No"),"Seriousness missing","OK"))))</f>
        <v>OK</v>
      </c>
    </row>
    <row r="44" spans="1:10" x14ac:dyDescent="0.25">
      <c r="A44" s="10" t="s">
        <v>262</v>
      </c>
      <c r="B44" s="10" t="s">
        <v>133</v>
      </c>
      <c r="C44" s="10" t="s">
        <v>217</v>
      </c>
      <c r="D44" s="19">
        <v>46102</v>
      </c>
      <c r="E44" s="10" t="s">
        <v>54</v>
      </c>
      <c r="F44" s="10" t="s">
        <v>207</v>
      </c>
      <c r="G44" s="10" t="s">
        <v>212</v>
      </c>
      <c r="H44" s="10" t="s">
        <v>213</v>
      </c>
      <c r="I44" s="10" t="str">
        <f>IFERROR(INDEX(Subjects!$F$2:$F$82,MATCH(B44,Subjects!$A$2:$A$82,0)),"Not in register")</f>
        <v>Treatment A</v>
      </c>
      <c r="J44" s="10" t="str">
        <f>IF(I44="Not in register","Subject not in register",IF(D44&lt;INDEX(Subjects!$C$2:$C$82,MATCH(B44,Subjects!$A$2:$A$82,0)),"Onset before enrollment",IF(E44="","Severity missing",IF(AND(F44&lt;&gt;"Yes",F44&lt;&gt;"No"),"Seriousness missing","OK"))))</f>
        <v>OK</v>
      </c>
    </row>
    <row r="45" spans="1:10" x14ac:dyDescent="0.25">
      <c r="A45" s="10" t="s">
        <v>263</v>
      </c>
      <c r="B45" s="10" t="s">
        <v>121</v>
      </c>
      <c r="C45" s="10" t="s">
        <v>228</v>
      </c>
      <c r="D45" s="19">
        <v>46102</v>
      </c>
      <c r="E45" s="10" t="s">
        <v>54</v>
      </c>
      <c r="F45" s="10" t="s">
        <v>207</v>
      </c>
      <c r="G45" s="10" t="s">
        <v>208</v>
      </c>
      <c r="H45" s="10" t="s">
        <v>218</v>
      </c>
      <c r="I45" s="10" t="str">
        <f>IFERROR(INDEX(Subjects!$F$2:$F$82,MATCH(B45,Subjects!$A$2:$A$82,0)),"Not in register")</f>
        <v>Treatment A</v>
      </c>
      <c r="J45" s="10" t="str">
        <f>IF(I45="Not in register","Subject not in register",IF(D45&lt;INDEX(Subjects!$C$2:$C$82,MATCH(B45,Subjects!$A$2:$A$82,0)),"Onset before enrollment",IF(E45="","Severity missing",IF(AND(F45&lt;&gt;"Yes",F45&lt;&gt;"No"),"Seriousness missing","OK"))))</f>
        <v>OK</v>
      </c>
    </row>
    <row r="46" spans="1:10" x14ac:dyDescent="0.25">
      <c r="A46" s="10" t="s">
        <v>264</v>
      </c>
      <c r="B46" s="10" t="s">
        <v>143</v>
      </c>
      <c r="C46" s="10" t="s">
        <v>221</v>
      </c>
      <c r="D46" s="19">
        <v>46104</v>
      </c>
      <c r="E46" s="10" t="s">
        <v>54</v>
      </c>
      <c r="F46" s="10" t="s">
        <v>207</v>
      </c>
      <c r="G46" s="10" t="s">
        <v>208</v>
      </c>
      <c r="H46" s="10" t="s">
        <v>218</v>
      </c>
      <c r="I46" s="10" t="str">
        <f>IFERROR(INDEX(Subjects!$F$2:$F$82,MATCH(B46,Subjects!$A$2:$A$82,0)),"Not in register")</f>
        <v>Treatment A</v>
      </c>
      <c r="J46" s="10" t="str">
        <f>IF(I46="Not in register","Subject not in register",IF(D46&lt;INDEX(Subjects!$C$2:$C$82,MATCH(B46,Subjects!$A$2:$A$82,0)),"Onset before enrollment",IF(E46="","Severity missing",IF(AND(F46&lt;&gt;"Yes",F46&lt;&gt;"No"),"Seriousness missing","OK"))))</f>
        <v>OK</v>
      </c>
    </row>
    <row r="47" spans="1:10" x14ac:dyDescent="0.25">
      <c r="A47" s="10" t="s">
        <v>265</v>
      </c>
      <c r="B47" s="10" t="s">
        <v>150</v>
      </c>
      <c r="C47" s="10" t="s">
        <v>221</v>
      </c>
      <c r="D47" s="19">
        <v>46104</v>
      </c>
      <c r="E47" s="10" t="s">
        <v>56</v>
      </c>
      <c r="F47" s="10" t="s">
        <v>224</v>
      </c>
      <c r="G47" s="10" t="s">
        <v>208</v>
      </c>
      <c r="H47" s="10" t="s">
        <v>215</v>
      </c>
      <c r="I47" s="10" t="str">
        <f>IFERROR(INDEX(Subjects!$F$2:$F$82,MATCH(B47,Subjects!$A$2:$A$82,0)),"Not in register")</f>
        <v>Treatment A</v>
      </c>
      <c r="J47" s="10" t="str">
        <f>IF(I47="Not in register","Subject not in register",IF(D47&lt;INDEX(Subjects!$C$2:$C$82,MATCH(B47,Subjects!$A$2:$A$82,0)),"Onset before enrollment",IF(E47="","Severity missing",IF(AND(F47&lt;&gt;"Yes",F47&lt;&gt;"No"),"Seriousness missing","OK"))))</f>
        <v>OK</v>
      </c>
    </row>
    <row r="48" spans="1:10" x14ac:dyDescent="0.25">
      <c r="A48" s="10" t="s">
        <v>266</v>
      </c>
      <c r="B48" s="10" t="s">
        <v>143</v>
      </c>
      <c r="C48" s="10" t="s">
        <v>217</v>
      </c>
      <c r="D48" s="19">
        <v>46105</v>
      </c>
      <c r="E48" s="10" t="s">
        <v>54</v>
      </c>
      <c r="F48" s="10" t="s">
        <v>207</v>
      </c>
      <c r="G48" s="10" t="s">
        <v>212</v>
      </c>
      <c r="H48" s="10" t="s">
        <v>213</v>
      </c>
      <c r="I48" s="10" t="str">
        <f>IFERROR(INDEX(Subjects!$F$2:$F$82,MATCH(B48,Subjects!$A$2:$A$82,0)),"Not in register")</f>
        <v>Treatment A</v>
      </c>
      <c r="J48" s="10" t="str">
        <f>IF(I48="Not in register","Subject not in register",IF(D48&lt;INDEX(Subjects!$C$2:$C$82,MATCH(B48,Subjects!$A$2:$A$82,0)),"Onset before enrollment",IF(E48="","Severity missing",IF(AND(F48&lt;&gt;"Yes",F48&lt;&gt;"No"),"Seriousness missing","OK"))))</f>
        <v>OK</v>
      </c>
    </row>
    <row r="49" spans="1:10" x14ac:dyDescent="0.25">
      <c r="A49" s="10" t="s">
        <v>267</v>
      </c>
      <c r="B49" s="10" t="s">
        <v>182</v>
      </c>
      <c r="C49" s="10" t="s">
        <v>206</v>
      </c>
      <c r="D49" s="19">
        <v>46109</v>
      </c>
      <c r="E49" s="10" t="s">
        <v>54</v>
      </c>
      <c r="F49" s="10" t="s">
        <v>207</v>
      </c>
      <c r="G49" s="10" t="s">
        <v>212</v>
      </c>
      <c r="H49" s="10" t="s">
        <v>218</v>
      </c>
      <c r="I49" s="10" t="str">
        <f>IFERROR(INDEX(Subjects!$F$2:$F$82,MATCH(B49,Subjects!$A$2:$A$82,0)),"Not in register")</f>
        <v>Placebo</v>
      </c>
      <c r="J49" s="10" t="str">
        <f>IF(I49="Not in register","Subject not in register",IF(D49&lt;INDEX(Subjects!$C$2:$C$82,MATCH(B49,Subjects!$A$2:$A$82,0)),"Onset before enrollment",IF(E49="","Severity missing",IF(AND(F49&lt;&gt;"Yes",F49&lt;&gt;"No"),"Seriousness missing","OK"))))</f>
        <v>OK</v>
      </c>
    </row>
    <row r="50" spans="1:10" x14ac:dyDescent="0.25">
      <c r="A50" s="10" t="s">
        <v>268</v>
      </c>
      <c r="B50" s="10" t="s">
        <v>182</v>
      </c>
      <c r="C50" s="10" t="s">
        <v>217</v>
      </c>
      <c r="D50" s="19">
        <v>46109</v>
      </c>
      <c r="E50" s="10" t="s">
        <v>55</v>
      </c>
      <c r="F50" s="10" t="s">
        <v>207</v>
      </c>
      <c r="G50" s="10" t="s">
        <v>212</v>
      </c>
      <c r="H50" s="10" t="s">
        <v>218</v>
      </c>
      <c r="I50" s="10" t="str">
        <f>IFERROR(INDEX(Subjects!$F$2:$F$82,MATCH(B50,Subjects!$A$2:$A$82,0)),"Not in register")</f>
        <v>Placebo</v>
      </c>
      <c r="J50" s="10" t="str">
        <f>IF(I50="Not in register","Subject not in register",IF(D50&lt;INDEX(Subjects!$C$2:$C$82,MATCH(B50,Subjects!$A$2:$A$82,0)),"Onset before enrollment",IF(E50="","Severity missing",IF(AND(F50&lt;&gt;"Yes",F50&lt;&gt;"No"),"Seriousness missing","OK"))))</f>
        <v>OK</v>
      </c>
    </row>
    <row r="51" spans="1:10" x14ac:dyDescent="0.25">
      <c r="A51" s="10" t="s">
        <v>269</v>
      </c>
      <c r="B51" s="10" t="s">
        <v>103</v>
      </c>
      <c r="C51" s="10" t="s">
        <v>217</v>
      </c>
      <c r="D51" s="19">
        <v>46112</v>
      </c>
      <c r="E51" s="10" t="s">
        <v>54</v>
      </c>
      <c r="F51" s="10" t="s">
        <v>207</v>
      </c>
      <c r="G51" s="10" t="s">
        <v>212</v>
      </c>
      <c r="H51" s="10" t="s">
        <v>209</v>
      </c>
      <c r="I51" s="10" t="str">
        <f>IFERROR(INDEX(Subjects!$F$2:$F$82,MATCH(B51,Subjects!$A$2:$A$82,0)),"Not in register")</f>
        <v>Placebo</v>
      </c>
      <c r="J51" s="10" t="str">
        <f>IF(I51="Not in register","Subject not in register",IF(D51&lt;INDEX(Subjects!$C$2:$C$82,MATCH(B51,Subjects!$A$2:$A$82,0)),"Onset before enrollment",IF(E51="","Severity missing",IF(AND(F51&lt;&gt;"Yes",F51&lt;&gt;"No"),"Seriousness missing","OK"))))</f>
        <v>OK</v>
      </c>
    </row>
    <row r="52" spans="1:10" x14ac:dyDescent="0.25">
      <c r="A52" s="10" t="s">
        <v>270</v>
      </c>
      <c r="B52" s="10" t="s">
        <v>174</v>
      </c>
      <c r="C52" s="10" t="s">
        <v>211</v>
      </c>
      <c r="D52" s="19">
        <v>46112</v>
      </c>
      <c r="E52" s="10" t="s">
        <v>54</v>
      </c>
      <c r="F52" s="10" t="s">
        <v>224</v>
      </c>
      <c r="G52" s="10" t="s">
        <v>212</v>
      </c>
      <c r="H52" s="10" t="s">
        <v>213</v>
      </c>
      <c r="I52" s="10" t="str">
        <f>IFERROR(INDEX(Subjects!$F$2:$F$82,MATCH(B52,Subjects!$A$2:$A$82,0)),"Not in register")</f>
        <v>Placebo</v>
      </c>
      <c r="J52" s="10" t="str">
        <f>IF(I52="Not in register","Subject not in register",IF(D52&lt;INDEX(Subjects!$C$2:$C$82,MATCH(B52,Subjects!$A$2:$A$82,0)),"Onset before enrollment",IF(E52="","Severity missing",IF(AND(F52&lt;&gt;"Yes",F52&lt;&gt;"No"),"Seriousness missing","OK"))))</f>
        <v>OK</v>
      </c>
    </row>
    <row r="53" spans="1:10" x14ac:dyDescent="0.25">
      <c r="A53" s="10" t="s">
        <v>271</v>
      </c>
      <c r="B53" s="10" t="s">
        <v>156</v>
      </c>
      <c r="C53" s="10" t="s">
        <v>228</v>
      </c>
      <c r="D53" s="19">
        <v>46113</v>
      </c>
      <c r="E53" s="10" t="s">
        <v>54</v>
      </c>
      <c r="F53" s="10" t="s">
        <v>207</v>
      </c>
      <c r="G53" s="10" t="s">
        <v>208</v>
      </c>
      <c r="H53" s="10" t="s">
        <v>218</v>
      </c>
      <c r="I53" s="10" t="str">
        <f>IFERROR(INDEX(Subjects!$F$2:$F$82,MATCH(B53,Subjects!$A$2:$A$82,0)),"Not in register")</f>
        <v>Treatment A</v>
      </c>
      <c r="J53" s="10" t="str">
        <f>IF(I53="Not in register","Subject not in register",IF(D53&lt;INDEX(Subjects!$C$2:$C$82,MATCH(B53,Subjects!$A$2:$A$82,0)),"Onset before enrollment",IF(E53="","Severity missing",IF(AND(F53&lt;&gt;"Yes",F53&lt;&gt;"No"),"Seriousness missing","OK"))))</f>
        <v>OK</v>
      </c>
    </row>
    <row r="54" spans="1:10" x14ac:dyDescent="0.25">
      <c r="A54" s="10" t="s">
        <v>272</v>
      </c>
      <c r="B54" s="10" t="s">
        <v>145</v>
      </c>
      <c r="C54" s="10" t="s">
        <v>211</v>
      </c>
      <c r="D54" s="19">
        <v>46114</v>
      </c>
      <c r="E54" s="10" t="s">
        <v>54</v>
      </c>
      <c r="F54" s="10" t="s">
        <v>207</v>
      </c>
      <c r="G54" s="10" t="s">
        <v>208</v>
      </c>
      <c r="H54" s="10" t="s">
        <v>218</v>
      </c>
      <c r="I54" s="10" t="str">
        <f>IFERROR(INDEX(Subjects!$F$2:$F$82,MATCH(B54,Subjects!$A$2:$A$82,0)),"Not in register")</f>
        <v>Placebo</v>
      </c>
      <c r="J54" s="10" t="str">
        <f>IF(I54="Not in register","Subject not in register",IF(D54&lt;INDEX(Subjects!$C$2:$C$82,MATCH(B54,Subjects!$A$2:$A$82,0)),"Onset before enrollment",IF(E54="","Severity missing",IF(AND(F54&lt;&gt;"Yes",F54&lt;&gt;"No"),"Seriousness missing","OK"))))</f>
        <v>OK</v>
      </c>
    </row>
    <row r="55" spans="1:10" x14ac:dyDescent="0.25">
      <c r="A55" s="10" t="s">
        <v>273</v>
      </c>
      <c r="B55" s="10" t="s">
        <v>132</v>
      </c>
      <c r="C55" s="10" t="s">
        <v>228</v>
      </c>
      <c r="D55" s="19">
        <v>46121</v>
      </c>
      <c r="E55" s="10" t="s">
        <v>55</v>
      </c>
      <c r="F55" s="10" t="s">
        <v>207</v>
      </c>
      <c r="G55" s="10" t="s">
        <v>208</v>
      </c>
      <c r="H55" s="10" t="s">
        <v>209</v>
      </c>
      <c r="I55" s="10" t="str">
        <f>IFERROR(INDEX(Subjects!$F$2:$F$82,MATCH(B55,Subjects!$A$2:$A$82,0)),"Not in register")</f>
        <v>Treatment A</v>
      </c>
      <c r="J55" s="10" t="str">
        <f>IF(I55="Not in register","Subject not in register",IF(D55&lt;INDEX(Subjects!$C$2:$C$82,MATCH(B55,Subjects!$A$2:$A$82,0)),"Onset before enrollment",IF(E55="","Severity missing",IF(AND(F55&lt;&gt;"Yes",F55&lt;&gt;"No"),"Seriousness missing","OK"))))</f>
        <v>OK</v>
      </c>
    </row>
    <row r="56" spans="1:10" x14ac:dyDescent="0.25">
      <c r="A56" s="10" t="s">
        <v>274</v>
      </c>
      <c r="B56" s="10" t="s">
        <v>108</v>
      </c>
      <c r="C56" s="10" t="s">
        <v>228</v>
      </c>
      <c r="D56" s="19">
        <v>46121</v>
      </c>
      <c r="E56" s="10" t="s">
        <v>56</v>
      </c>
      <c r="F56" s="10" t="s">
        <v>207</v>
      </c>
      <c r="G56" s="10" t="s">
        <v>233</v>
      </c>
      <c r="H56" s="10" t="s">
        <v>213</v>
      </c>
      <c r="I56" s="10" t="str">
        <f>IFERROR(INDEX(Subjects!$F$2:$F$82,MATCH(B56,Subjects!$A$2:$A$82,0)),"Not in register")</f>
        <v>Treatment A</v>
      </c>
      <c r="J56" s="10" t="str">
        <f>IF(I56="Not in register","Subject not in register",IF(D56&lt;INDEX(Subjects!$C$2:$C$82,MATCH(B56,Subjects!$A$2:$A$82,0)),"Onset before enrollment",IF(E56="","Severity missing",IF(AND(F56&lt;&gt;"Yes",F56&lt;&gt;"No"),"Seriousness missing","OK"))))</f>
        <v>OK</v>
      </c>
    </row>
    <row r="57" spans="1:10" x14ac:dyDescent="0.25">
      <c r="A57" s="10" t="s">
        <v>275</v>
      </c>
      <c r="B57" s="10" t="s">
        <v>130</v>
      </c>
      <c r="C57" s="10" t="s">
        <v>228</v>
      </c>
      <c r="D57" s="19">
        <v>46122</v>
      </c>
      <c r="E57" s="10" t="s">
        <v>56</v>
      </c>
      <c r="F57" s="10" t="s">
        <v>224</v>
      </c>
      <c r="G57" s="10" t="s">
        <v>212</v>
      </c>
      <c r="H57" s="10" t="s">
        <v>209</v>
      </c>
      <c r="I57" s="10" t="str">
        <f>IFERROR(INDEX(Subjects!$F$2:$F$82,MATCH(B57,Subjects!$A$2:$A$82,0)),"Not in register")</f>
        <v>Placebo</v>
      </c>
      <c r="J57" s="10" t="str">
        <f>IF(I57="Not in register","Subject not in register",IF(D57&lt;INDEX(Subjects!$C$2:$C$82,MATCH(B57,Subjects!$A$2:$A$82,0)),"Onset before enrollment",IF(E57="","Severity missing",IF(AND(F57&lt;&gt;"Yes",F57&lt;&gt;"No"),"Seriousness missing","OK"))))</f>
        <v>OK</v>
      </c>
    </row>
    <row r="58" spans="1:10" x14ac:dyDescent="0.25">
      <c r="A58" s="10" t="s">
        <v>276</v>
      </c>
      <c r="B58" s="10" t="s">
        <v>103</v>
      </c>
      <c r="C58" s="10" t="s">
        <v>228</v>
      </c>
      <c r="D58" s="19">
        <v>46131</v>
      </c>
      <c r="E58" s="10" t="s">
        <v>54</v>
      </c>
      <c r="F58" s="10" t="s">
        <v>207</v>
      </c>
      <c r="G58" s="10" t="s">
        <v>212</v>
      </c>
      <c r="H58" s="10" t="s">
        <v>209</v>
      </c>
      <c r="I58" s="10" t="str">
        <f>IFERROR(INDEX(Subjects!$F$2:$F$82,MATCH(B58,Subjects!$A$2:$A$82,0)),"Not in register")</f>
        <v>Placebo</v>
      </c>
      <c r="J58" s="10" t="str">
        <f>IF(I58="Not in register","Subject not in register",IF(D58&lt;INDEX(Subjects!$C$2:$C$82,MATCH(B58,Subjects!$A$2:$A$82,0)),"Onset before enrollment",IF(E58="","Severity missing",IF(AND(F58&lt;&gt;"Yes",F58&lt;&gt;"No"),"Seriousness missing","OK"))))</f>
        <v>OK</v>
      </c>
    </row>
    <row r="59" spans="1:10" x14ac:dyDescent="0.25">
      <c r="A59" s="10" t="s">
        <v>277</v>
      </c>
      <c r="B59" s="10" t="s">
        <v>157</v>
      </c>
      <c r="C59" s="10" t="s">
        <v>223</v>
      </c>
      <c r="D59" s="19">
        <v>46132</v>
      </c>
      <c r="E59" s="10" t="s">
        <v>55</v>
      </c>
      <c r="F59" s="10" t="s">
        <v>207</v>
      </c>
      <c r="G59" s="10" t="s">
        <v>208</v>
      </c>
      <c r="H59" s="10" t="s">
        <v>209</v>
      </c>
      <c r="I59" s="10" t="str">
        <f>IFERROR(INDEX(Subjects!$F$2:$F$82,MATCH(B59,Subjects!$A$2:$A$82,0)),"Not in register")</f>
        <v>Treatment A</v>
      </c>
      <c r="J59" s="10" t="str">
        <f>IF(I59="Not in register","Subject not in register",IF(D59&lt;INDEX(Subjects!$C$2:$C$82,MATCH(B59,Subjects!$A$2:$A$82,0)),"Onset before enrollment",IF(E59="","Severity missing",IF(AND(F59&lt;&gt;"Yes",F59&lt;&gt;"No"),"Seriousness missing","OK"))))</f>
        <v>OK</v>
      </c>
    </row>
    <row r="60" spans="1:10" x14ac:dyDescent="0.25">
      <c r="A60" s="10" t="s">
        <v>278</v>
      </c>
      <c r="B60" s="10" t="s">
        <v>154</v>
      </c>
      <c r="C60" s="10" t="s">
        <v>217</v>
      </c>
      <c r="D60" s="19">
        <v>46136</v>
      </c>
      <c r="E60" s="10" t="s">
        <v>54</v>
      </c>
      <c r="F60" s="10" t="s">
        <v>207</v>
      </c>
      <c r="G60" s="10" t="s">
        <v>212</v>
      </c>
      <c r="H60" s="10" t="s">
        <v>218</v>
      </c>
      <c r="I60" s="10" t="str">
        <f>IFERROR(INDEX(Subjects!$F$2:$F$82,MATCH(B60,Subjects!$A$2:$A$82,0)),"Not in register")</f>
        <v>Treatment A</v>
      </c>
      <c r="J60" s="10" t="str">
        <f>IF(I60="Not in register","Subject not in register",IF(D60&lt;INDEX(Subjects!$C$2:$C$82,MATCH(B60,Subjects!$A$2:$A$82,0)),"Onset before enrollment",IF(E60="","Severity missing",IF(AND(F60&lt;&gt;"Yes",F60&lt;&gt;"No"),"Seriousness missing","OK"))))</f>
        <v>OK</v>
      </c>
    </row>
    <row r="61" spans="1:10" x14ac:dyDescent="0.25">
      <c r="A61" s="10" t="s">
        <v>279</v>
      </c>
      <c r="B61" s="10" t="s">
        <v>170</v>
      </c>
      <c r="C61" s="10" t="s">
        <v>228</v>
      </c>
      <c r="D61" s="19">
        <v>46142</v>
      </c>
      <c r="E61" s="10" t="s">
        <v>54</v>
      </c>
      <c r="F61" s="10" t="s">
        <v>207</v>
      </c>
      <c r="G61" s="10" t="s">
        <v>212</v>
      </c>
      <c r="H61" s="10" t="s">
        <v>218</v>
      </c>
      <c r="I61" s="10" t="str">
        <f>IFERROR(INDEX(Subjects!$F$2:$F$82,MATCH(B61,Subjects!$A$2:$A$82,0)),"Not in register")</f>
        <v>Placebo</v>
      </c>
      <c r="J61" s="10" t="str">
        <f>IF(I61="Not in register","Subject not in register",IF(D61&lt;INDEX(Subjects!$C$2:$C$82,MATCH(B61,Subjects!$A$2:$A$82,0)),"Onset before enrollment",IF(E61="","Severity missing",IF(AND(F61&lt;&gt;"Yes",F61&lt;&gt;"No"),"Seriousness missing","OK"))))</f>
        <v>OK</v>
      </c>
    </row>
  </sheetData>
  <autoFilter ref="A1:J61" xr:uid="{00000000-0009-0000-0000-000004000000}"/>
  <conditionalFormatting sqref="J2:J61">
    <cfRule type="expression" dxfId="4" priority="2">
      <formula>J2&lt;&gt;"OK"</formula>
    </cfRule>
    <cfRule type="expression" dxfId="3" priority="3">
      <formula>J2="OK"</formula>
    </cfRule>
  </conditionalFormatting>
  <dataValidations count="2">
    <dataValidation type="list" allowBlank="1" sqref="E2:E61" xr:uid="{00000000-0002-0000-0400-000000000000}">
      <formula1>"Mild,Moderate,Severe"</formula1>
      <formula2>0</formula2>
    </dataValidation>
    <dataValidation type="list" allowBlank="1" sqref="F2:F61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6" customWidth="1"/>
    <col min="3" max="3" width="24" customWidth="1"/>
    <col min="4" max="4" width="26" customWidth="1"/>
    <col min="5" max="5" width="50" customWidth="1"/>
    <col min="6" max="6" width="15" customWidth="1"/>
    <col min="7" max="7" width="24" customWidth="1"/>
    <col min="8" max="8" width="12" customWidth="1"/>
    <col min="9" max="9" width="26" customWidth="1"/>
    <col min="10" max="10" width="11" customWidth="1"/>
  </cols>
  <sheetData>
    <row r="1" spans="1:10" ht="31.5" customHeight="1" x14ac:dyDescent="0.25">
      <c r="A1" s="18" t="s">
        <v>280</v>
      </c>
      <c r="B1" s="18" t="s">
        <v>281</v>
      </c>
      <c r="C1" s="18" t="s">
        <v>282</v>
      </c>
      <c r="D1" s="18" t="s">
        <v>283</v>
      </c>
      <c r="E1" s="18" t="s">
        <v>284</v>
      </c>
      <c r="F1" s="18" t="s">
        <v>285</v>
      </c>
      <c r="G1" s="18" t="s">
        <v>286</v>
      </c>
      <c r="H1" s="18" t="s">
        <v>287</v>
      </c>
      <c r="I1" s="18" t="s">
        <v>288</v>
      </c>
      <c r="J1" s="18" t="s">
        <v>289</v>
      </c>
    </row>
    <row r="2" spans="1:10" x14ac:dyDescent="0.25">
      <c r="A2" s="10" t="s">
        <v>290</v>
      </c>
      <c r="B2" s="10" t="s">
        <v>60</v>
      </c>
      <c r="C2" s="10" t="s">
        <v>114</v>
      </c>
      <c r="D2" s="10" t="s">
        <v>291</v>
      </c>
      <c r="E2" s="10" t="s">
        <v>292</v>
      </c>
      <c r="F2" s="10" t="s">
        <v>293</v>
      </c>
      <c r="G2" s="10" t="s">
        <v>87</v>
      </c>
      <c r="H2" s="10">
        <v>12</v>
      </c>
      <c r="I2" s="10" t="str">
        <f>INDEX(Subjects!$H:$H,H2)</f>
        <v>Duplicate subject ID</v>
      </c>
      <c r="J2" s="10" t="s">
        <v>294</v>
      </c>
    </row>
    <row r="3" spans="1:10" x14ac:dyDescent="0.25">
      <c r="A3" s="10" t="s">
        <v>295</v>
      </c>
      <c r="B3" s="10" t="s">
        <v>60</v>
      </c>
      <c r="C3" s="10" t="s">
        <v>114</v>
      </c>
      <c r="D3" s="10" t="s">
        <v>291</v>
      </c>
      <c r="E3" s="10" t="s">
        <v>292</v>
      </c>
      <c r="F3" s="10" t="s">
        <v>293</v>
      </c>
      <c r="G3" s="10" t="s">
        <v>87</v>
      </c>
      <c r="H3" s="10">
        <v>82</v>
      </c>
      <c r="I3" s="10" t="str">
        <f>INDEX(Subjects!$H:$H,H3)</f>
        <v>Duplicate subject ID</v>
      </c>
      <c r="J3" s="10" t="s">
        <v>294</v>
      </c>
    </row>
    <row r="4" spans="1:10" x14ac:dyDescent="0.25">
      <c r="A4" s="10" t="s">
        <v>296</v>
      </c>
      <c r="B4" s="10" t="s">
        <v>60</v>
      </c>
      <c r="C4" s="10" t="s">
        <v>139</v>
      </c>
      <c r="D4" s="10" t="s">
        <v>297</v>
      </c>
      <c r="E4" s="10" t="s">
        <v>298</v>
      </c>
      <c r="F4" s="10" t="s">
        <v>293</v>
      </c>
      <c r="G4" s="10" t="s">
        <v>299</v>
      </c>
      <c r="H4" s="10">
        <v>37</v>
      </c>
      <c r="I4" s="10" t="str">
        <f>INDEX(Subjects!$H:$H,H4)</f>
        <v>OK</v>
      </c>
      <c r="J4" s="10" t="s">
        <v>300</v>
      </c>
    </row>
    <row r="5" spans="1:10" x14ac:dyDescent="0.25">
      <c r="A5" s="10" t="s">
        <v>301</v>
      </c>
      <c r="B5" s="10" t="s">
        <v>60</v>
      </c>
      <c r="C5" s="10" t="s">
        <v>176</v>
      </c>
      <c r="D5" s="10" t="s">
        <v>297</v>
      </c>
      <c r="E5" s="10" t="s">
        <v>302</v>
      </c>
      <c r="F5" s="10" t="s">
        <v>293</v>
      </c>
      <c r="G5" s="10" t="s">
        <v>87</v>
      </c>
      <c r="H5" s="10">
        <v>74</v>
      </c>
      <c r="I5" s="10" t="str">
        <f>INDEX(Subjects!$H:$H,H5)</f>
        <v>Age out of range</v>
      </c>
      <c r="J5" s="10" t="s">
        <v>303</v>
      </c>
    </row>
    <row r="6" spans="1:10" x14ac:dyDescent="0.25">
      <c r="A6" s="10" t="s">
        <v>304</v>
      </c>
      <c r="B6" s="10" t="s">
        <v>60</v>
      </c>
      <c r="C6" s="10" t="s">
        <v>155</v>
      </c>
      <c r="D6" s="10" t="s">
        <v>305</v>
      </c>
      <c r="E6" s="10" t="s">
        <v>306</v>
      </c>
      <c r="F6" s="10" t="s">
        <v>307</v>
      </c>
      <c r="G6" s="10" t="s">
        <v>308</v>
      </c>
      <c r="H6" s="10">
        <v>53</v>
      </c>
      <c r="I6" s="10" t="str">
        <f>INDEX(Subjects!$H:$H,H6)</f>
        <v>Missing field</v>
      </c>
      <c r="J6" s="10" t="s">
        <v>309</v>
      </c>
    </row>
    <row r="7" spans="1:10" x14ac:dyDescent="0.25">
      <c r="A7" s="10" t="s">
        <v>310</v>
      </c>
      <c r="B7" s="10" t="s">
        <v>60</v>
      </c>
      <c r="C7" s="10" t="s">
        <v>169</v>
      </c>
      <c r="D7" s="10" t="s">
        <v>305</v>
      </c>
      <c r="E7" s="10" t="s">
        <v>311</v>
      </c>
      <c r="F7" s="10" t="s">
        <v>293</v>
      </c>
      <c r="G7" s="10" t="s">
        <v>87</v>
      </c>
      <c r="H7" s="10">
        <v>67</v>
      </c>
      <c r="I7" s="10" t="str">
        <f>INDEX(Subjects!$H:$H,H7)</f>
        <v>Missing field</v>
      </c>
      <c r="J7" s="10" t="s">
        <v>312</v>
      </c>
    </row>
    <row r="8" spans="1:10" x14ac:dyDescent="0.25">
      <c r="A8" s="10" t="s">
        <v>313</v>
      </c>
      <c r="B8" s="10" t="s">
        <v>82</v>
      </c>
      <c r="C8" s="10" t="s">
        <v>314</v>
      </c>
      <c r="D8" s="10" t="s">
        <v>315</v>
      </c>
      <c r="E8" s="10" t="s">
        <v>316</v>
      </c>
      <c r="F8" s="10" t="s">
        <v>293</v>
      </c>
      <c r="G8" s="10" t="s">
        <v>299</v>
      </c>
      <c r="H8" s="10">
        <v>19</v>
      </c>
      <c r="I8" s="10" t="str">
        <f>INDEX(Visits!$I:$I,H8)</f>
        <v>OK</v>
      </c>
      <c r="J8" s="10" t="s">
        <v>317</v>
      </c>
    </row>
    <row r="9" spans="1:10" x14ac:dyDescent="0.25">
      <c r="A9" s="10" t="s">
        <v>318</v>
      </c>
      <c r="B9" s="10" t="s">
        <v>82</v>
      </c>
      <c r="C9" s="10" t="s">
        <v>319</v>
      </c>
      <c r="D9" s="10" t="s">
        <v>320</v>
      </c>
      <c r="E9" s="10" t="s">
        <v>321</v>
      </c>
      <c r="F9" s="10" t="s">
        <v>307</v>
      </c>
      <c r="G9" s="10" t="s">
        <v>322</v>
      </c>
      <c r="H9" s="10">
        <v>33</v>
      </c>
      <c r="I9" s="10" t="str">
        <f>INDEX(Visits!$I:$I,H9)</f>
        <v>Missing weight</v>
      </c>
      <c r="J9" s="10" t="s">
        <v>323</v>
      </c>
    </row>
    <row r="10" spans="1:10" x14ac:dyDescent="0.25">
      <c r="A10" s="10" t="s">
        <v>324</v>
      </c>
      <c r="B10" s="10" t="s">
        <v>82</v>
      </c>
      <c r="C10" s="10" t="s">
        <v>325</v>
      </c>
      <c r="D10" s="10" t="s">
        <v>326</v>
      </c>
      <c r="E10" s="10" t="s">
        <v>327</v>
      </c>
      <c r="F10" s="10" t="s">
        <v>293</v>
      </c>
      <c r="G10" s="10" t="s">
        <v>87</v>
      </c>
      <c r="H10" s="10">
        <v>48</v>
      </c>
      <c r="I10" s="10" t="str">
        <f>INDEX(Visits!$I:$I,H10)</f>
        <v>Systolic BP out of range</v>
      </c>
      <c r="J10" s="10" t="s">
        <v>328</v>
      </c>
    </row>
    <row r="11" spans="1:10" x14ac:dyDescent="0.25">
      <c r="A11" s="10" t="s">
        <v>329</v>
      </c>
      <c r="B11" s="10" t="s">
        <v>82</v>
      </c>
      <c r="C11" s="10" t="s">
        <v>330</v>
      </c>
      <c r="D11" s="10" t="s">
        <v>331</v>
      </c>
      <c r="E11" s="10" t="s">
        <v>332</v>
      </c>
      <c r="F11" s="10" t="s">
        <v>307</v>
      </c>
      <c r="G11" s="10" t="s">
        <v>308</v>
      </c>
      <c r="H11" s="10">
        <v>90</v>
      </c>
      <c r="I11" s="10" t="str">
        <f>INDEX(Visits!$I:$I,H11)</f>
        <v>Diastolic BP out of range</v>
      </c>
      <c r="J11" s="10" t="s">
        <v>333</v>
      </c>
    </row>
    <row r="12" spans="1:10" x14ac:dyDescent="0.25">
      <c r="A12" s="10" t="s">
        <v>334</v>
      </c>
      <c r="B12" s="10" t="s">
        <v>82</v>
      </c>
      <c r="C12" s="10" t="s">
        <v>335</v>
      </c>
      <c r="D12" s="10" t="s">
        <v>336</v>
      </c>
      <c r="E12" s="10" t="s">
        <v>337</v>
      </c>
      <c r="F12" s="10" t="s">
        <v>293</v>
      </c>
      <c r="G12" s="10" t="s">
        <v>87</v>
      </c>
      <c r="H12" s="10">
        <v>103</v>
      </c>
      <c r="I12" s="10" t="str">
        <f>INDEX(Visits!$I:$I,H12)</f>
        <v>Visit before enrollment</v>
      </c>
      <c r="J12" s="10" t="s">
        <v>338</v>
      </c>
    </row>
    <row r="13" spans="1:10" x14ac:dyDescent="0.25">
      <c r="A13" s="10" t="s">
        <v>339</v>
      </c>
      <c r="B13" s="10" t="s">
        <v>82</v>
      </c>
      <c r="C13" s="10" t="s">
        <v>340</v>
      </c>
      <c r="D13" s="10" t="s">
        <v>341</v>
      </c>
      <c r="E13" s="10" t="s">
        <v>342</v>
      </c>
      <c r="F13" s="10" t="s">
        <v>293</v>
      </c>
      <c r="G13" s="10" t="s">
        <v>87</v>
      </c>
      <c r="H13" s="10">
        <v>293</v>
      </c>
      <c r="I13" s="10" t="str">
        <f>INDEX(Visits!$I:$I,H13)</f>
        <v>Subject not in register</v>
      </c>
      <c r="J13" s="10" t="s">
        <v>343</v>
      </c>
    </row>
    <row r="14" spans="1:10" x14ac:dyDescent="0.25">
      <c r="A14" s="10" t="s">
        <v>344</v>
      </c>
      <c r="B14" s="10" t="s">
        <v>82</v>
      </c>
      <c r="C14" s="10" t="s">
        <v>345</v>
      </c>
      <c r="D14" s="10" t="s">
        <v>346</v>
      </c>
      <c r="E14" s="10" t="s">
        <v>347</v>
      </c>
      <c r="F14" s="10" t="s">
        <v>348</v>
      </c>
      <c r="G14" s="10" t="s">
        <v>87</v>
      </c>
      <c r="H14" s="10">
        <v>180</v>
      </c>
      <c r="I14" s="10" t="str">
        <f>INDEX(Visits!$I:$I,H14)</f>
        <v>Missed visit</v>
      </c>
      <c r="J14" s="10" t="s">
        <v>349</v>
      </c>
    </row>
    <row r="15" spans="1:10" x14ac:dyDescent="0.25">
      <c r="A15" s="10" t="s">
        <v>205</v>
      </c>
      <c r="B15" s="10" t="s">
        <v>83</v>
      </c>
      <c r="C15" s="10" t="s">
        <v>259</v>
      </c>
      <c r="D15" s="10" t="s">
        <v>341</v>
      </c>
      <c r="E15" s="10" t="s">
        <v>350</v>
      </c>
      <c r="F15" s="10" t="s">
        <v>293</v>
      </c>
      <c r="G15" s="10" t="s">
        <v>87</v>
      </c>
      <c r="H15" s="10">
        <v>41</v>
      </c>
      <c r="I15" s="10" t="str">
        <f>INDEX('Adverse Events'!$J:$J,H15)</f>
        <v>Subject not in register</v>
      </c>
      <c r="J15" s="10" t="s">
        <v>351</v>
      </c>
    </row>
    <row r="16" spans="1:10" x14ac:dyDescent="0.25">
      <c r="A16" s="10" t="s">
        <v>210</v>
      </c>
      <c r="B16" s="10" t="s">
        <v>83</v>
      </c>
      <c r="C16" s="10" t="s">
        <v>219</v>
      </c>
      <c r="D16" s="10" t="s">
        <v>352</v>
      </c>
      <c r="E16" s="10" t="s">
        <v>353</v>
      </c>
      <c r="F16" s="10" t="s">
        <v>307</v>
      </c>
      <c r="G16" s="10" t="s">
        <v>308</v>
      </c>
      <c r="H16" s="10">
        <v>6</v>
      </c>
      <c r="I16" s="10" t="str">
        <f>INDEX('Adverse Events'!$J:$J,H16)</f>
        <v>Severity missing</v>
      </c>
      <c r="J16" s="10" t="s">
        <v>354</v>
      </c>
    </row>
    <row r="17" spans="1:10" x14ac:dyDescent="0.25">
      <c r="A17" s="10" t="s">
        <v>214</v>
      </c>
      <c r="B17" s="10" t="s">
        <v>83</v>
      </c>
      <c r="C17" s="10" t="s">
        <v>236</v>
      </c>
      <c r="D17" s="10" t="s">
        <v>352</v>
      </c>
      <c r="E17" s="10" t="s">
        <v>353</v>
      </c>
      <c r="F17" s="10" t="s">
        <v>307</v>
      </c>
      <c r="G17" s="10" t="s">
        <v>299</v>
      </c>
      <c r="H17" s="10">
        <v>18</v>
      </c>
      <c r="I17" s="10" t="str">
        <f>INDEX('Adverse Events'!$J:$J,H17)</f>
        <v>OK</v>
      </c>
      <c r="J17" s="10" t="s">
        <v>355</v>
      </c>
    </row>
    <row r="18" spans="1:10" x14ac:dyDescent="0.25">
      <c r="A18" s="10" t="s">
        <v>216</v>
      </c>
      <c r="B18" s="10" t="s">
        <v>83</v>
      </c>
      <c r="C18" s="10" t="s">
        <v>229</v>
      </c>
      <c r="D18" s="10" t="s">
        <v>356</v>
      </c>
      <c r="E18" s="10" t="s">
        <v>357</v>
      </c>
      <c r="F18" s="10" t="s">
        <v>293</v>
      </c>
      <c r="G18" s="10" t="s">
        <v>87</v>
      </c>
      <c r="H18" s="10">
        <v>12</v>
      </c>
      <c r="I18" s="10" t="str">
        <f>INDEX('Adverse Events'!$J:$J,H18)</f>
        <v>Seriousness missing</v>
      </c>
      <c r="J18" s="10" t="s">
        <v>358</v>
      </c>
    </row>
    <row r="19" spans="1:10" x14ac:dyDescent="0.25">
      <c r="A19" s="10" t="s">
        <v>219</v>
      </c>
      <c r="B19" s="10" t="s">
        <v>83</v>
      </c>
      <c r="C19" s="10" t="s">
        <v>243</v>
      </c>
      <c r="D19" s="10" t="s">
        <v>359</v>
      </c>
      <c r="E19" s="10" t="s">
        <v>360</v>
      </c>
      <c r="F19" s="10" t="s">
        <v>293</v>
      </c>
      <c r="G19" s="10" t="s">
        <v>87</v>
      </c>
      <c r="H19" s="10">
        <v>25</v>
      </c>
      <c r="I19" s="10" t="str">
        <f>INDEX('Adverse Events'!$J:$J,H19)</f>
        <v>Onset before enrollment</v>
      </c>
      <c r="J19" s="10" t="s">
        <v>361</v>
      </c>
    </row>
  </sheetData>
  <autoFilter ref="A1:J19" xr:uid="{00000000-0009-0000-0000-000005000000}"/>
  <conditionalFormatting sqref="I2:I19">
    <cfRule type="expression" dxfId="2" priority="2">
      <formula>I2&lt;&gt;"OK"</formula>
    </cfRule>
    <cfRule type="expression" dxfId="1" priority="3">
      <formula>I2="OK"</formula>
    </cfRule>
  </conditionalFormatting>
  <dataValidations count="1">
    <dataValidation type="list" allowBlank="1" sqref="G2:G19" xr:uid="{00000000-0002-0000-0500-000000000000}">
      <formula1>"Open,Query sent,Answered - pending update,Resolved"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8"/>
  <sheetViews>
    <sheetView topLeftCell="C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6" customWidth="1"/>
    <col min="3" max="3" width="24" customWidth="1"/>
    <col min="4" max="4" width="26" customWidth="1"/>
    <col min="5" max="5" width="48" customWidth="1"/>
    <col min="6" max="6" width="60" customWidth="1"/>
    <col min="7" max="7" width="10" customWidth="1"/>
    <col min="8" max="8" width="13" customWidth="1"/>
    <col min="9" max="9" width="50" customWidth="1"/>
    <col min="10" max="11" width="13" customWidth="1"/>
    <col min="12" max="12" width="11" customWidth="1"/>
  </cols>
  <sheetData>
    <row r="1" spans="1:12" ht="31.5" customHeight="1" x14ac:dyDescent="0.25">
      <c r="A1" s="18" t="s">
        <v>289</v>
      </c>
      <c r="B1" s="18" t="s">
        <v>80</v>
      </c>
      <c r="C1" s="18" t="s">
        <v>282</v>
      </c>
      <c r="D1" s="18" t="s">
        <v>362</v>
      </c>
      <c r="E1" s="18" t="s">
        <v>363</v>
      </c>
      <c r="F1" s="18" t="s">
        <v>364</v>
      </c>
      <c r="G1" s="18" t="s">
        <v>365</v>
      </c>
      <c r="H1" s="18" t="s">
        <v>85</v>
      </c>
      <c r="I1" s="18" t="s">
        <v>366</v>
      </c>
      <c r="J1" s="18" t="s">
        <v>367</v>
      </c>
      <c r="K1" s="18" t="s">
        <v>368</v>
      </c>
      <c r="L1" s="18" t="s">
        <v>369</v>
      </c>
    </row>
    <row r="2" spans="1:12" ht="30" x14ac:dyDescent="0.25">
      <c r="A2" s="10" t="s">
        <v>294</v>
      </c>
      <c r="B2" s="10" t="s">
        <v>60</v>
      </c>
      <c r="C2" s="10" t="s">
        <v>114</v>
      </c>
      <c r="D2" s="10" t="s">
        <v>291</v>
      </c>
      <c r="E2" s="20" t="s">
        <v>370</v>
      </c>
      <c r="F2" s="20" t="s">
        <v>371</v>
      </c>
      <c r="G2" s="10" t="s">
        <v>293</v>
      </c>
      <c r="H2" s="10" t="s">
        <v>87</v>
      </c>
      <c r="I2" s="20"/>
      <c r="J2" s="19">
        <v>46093</v>
      </c>
      <c r="K2" s="19"/>
      <c r="L2" s="10">
        <f>IF(K2="",'Check Rules'!$B$11-J2,K2-J2)</f>
        <v>49</v>
      </c>
    </row>
    <row r="3" spans="1:12" ht="30" x14ac:dyDescent="0.25">
      <c r="A3" s="10" t="s">
        <v>300</v>
      </c>
      <c r="B3" s="10" t="s">
        <v>60</v>
      </c>
      <c r="C3" s="10" t="s">
        <v>139</v>
      </c>
      <c r="D3" s="10" t="s">
        <v>297</v>
      </c>
      <c r="E3" s="20" t="s">
        <v>372</v>
      </c>
      <c r="F3" s="20" t="s">
        <v>373</v>
      </c>
      <c r="G3" s="10" t="s">
        <v>293</v>
      </c>
      <c r="H3" s="10" t="s">
        <v>90</v>
      </c>
      <c r="I3" s="20" t="s">
        <v>374</v>
      </c>
      <c r="J3" s="19">
        <v>46095</v>
      </c>
      <c r="K3" s="19">
        <v>46102</v>
      </c>
      <c r="L3" s="10">
        <f>IF(K3="",'Check Rules'!$B$11-J3,K3-J3)</f>
        <v>7</v>
      </c>
    </row>
    <row r="4" spans="1:12" ht="30" x14ac:dyDescent="0.25">
      <c r="A4" s="10" t="s">
        <v>303</v>
      </c>
      <c r="B4" s="10" t="s">
        <v>60</v>
      </c>
      <c r="C4" s="10" t="s">
        <v>176</v>
      </c>
      <c r="D4" s="10" t="s">
        <v>297</v>
      </c>
      <c r="E4" s="20" t="s">
        <v>375</v>
      </c>
      <c r="F4" s="20" t="s">
        <v>373</v>
      </c>
      <c r="G4" s="10" t="s">
        <v>293</v>
      </c>
      <c r="H4" s="10" t="s">
        <v>87</v>
      </c>
      <c r="I4" s="20"/>
      <c r="J4" s="19">
        <v>46097</v>
      </c>
      <c r="K4" s="19"/>
      <c r="L4" s="10">
        <f>IF(K4="",'Check Rules'!$B$11-J4,K4-J4)</f>
        <v>45</v>
      </c>
    </row>
    <row r="5" spans="1:12" x14ac:dyDescent="0.25">
      <c r="A5" s="10" t="s">
        <v>309</v>
      </c>
      <c r="B5" s="10" t="s">
        <v>60</v>
      </c>
      <c r="C5" s="10" t="s">
        <v>155</v>
      </c>
      <c r="D5" s="10" t="s">
        <v>305</v>
      </c>
      <c r="E5" s="20" t="s">
        <v>376</v>
      </c>
      <c r="F5" s="20" t="s">
        <v>377</v>
      </c>
      <c r="G5" s="10" t="s">
        <v>307</v>
      </c>
      <c r="H5" s="10" t="s">
        <v>88</v>
      </c>
      <c r="I5" s="20"/>
      <c r="J5" s="19">
        <v>46099</v>
      </c>
      <c r="K5" s="19"/>
      <c r="L5" s="10">
        <f>IF(K5="",'Check Rules'!$B$11-J5,K5-J5)</f>
        <v>43</v>
      </c>
    </row>
    <row r="6" spans="1:12" ht="30" x14ac:dyDescent="0.25">
      <c r="A6" s="10" t="s">
        <v>312</v>
      </c>
      <c r="B6" s="10" t="s">
        <v>60</v>
      </c>
      <c r="C6" s="10" t="s">
        <v>169</v>
      </c>
      <c r="D6" s="10" t="s">
        <v>305</v>
      </c>
      <c r="E6" s="20" t="s">
        <v>378</v>
      </c>
      <c r="F6" s="20" t="s">
        <v>379</v>
      </c>
      <c r="G6" s="10" t="s">
        <v>293</v>
      </c>
      <c r="H6" s="10" t="s">
        <v>87</v>
      </c>
      <c r="I6" s="20"/>
      <c r="J6" s="19">
        <v>46101</v>
      </c>
      <c r="K6" s="19"/>
      <c r="L6" s="10">
        <f>IF(K6="",'Check Rules'!$B$11-J6,K6-J6)</f>
        <v>41</v>
      </c>
    </row>
    <row r="7" spans="1:12" ht="30" x14ac:dyDescent="0.25">
      <c r="A7" s="10" t="s">
        <v>317</v>
      </c>
      <c r="B7" s="10" t="s">
        <v>82</v>
      </c>
      <c r="C7" s="10" t="s">
        <v>314</v>
      </c>
      <c r="D7" s="10" t="s">
        <v>315</v>
      </c>
      <c r="E7" s="20" t="s">
        <v>380</v>
      </c>
      <c r="F7" s="20" t="s">
        <v>381</v>
      </c>
      <c r="G7" s="10" t="s">
        <v>293</v>
      </c>
      <c r="H7" s="10" t="s">
        <v>90</v>
      </c>
      <c r="I7" s="20" t="s">
        <v>382</v>
      </c>
      <c r="J7" s="19">
        <v>46103</v>
      </c>
      <c r="K7" s="19">
        <v>46110</v>
      </c>
      <c r="L7" s="10">
        <f>IF(K7="",'Check Rules'!$B$11-J7,K7-J7)</f>
        <v>7</v>
      </c>
    </row>
    <row r="8" spans="1:12" ht="30" x14ac:dyDescent="0.25">
      <c r="A8" s="10" t="s">
        <v>323</v>
      </c>
      <c r="B8" s="10" t="s">
        <v>82</v>
      </c>
      <c r="C8" s="10" t="s">
        <v>319</v>
      </c>
      <c r="D8" s="10" t="s">
        <v>320</v>
      </c>
      <c r="E8" s="20" t="s">
        <v>383</v>
      </c>
      <c r="F8" s="20" t="s">
        <v>384</v>
      </c>
      <c r="G8" s="10" t="s">
        <v>307</v>
      </c>
      <c r="H8" s="10" t="s">
        <v>89</v>
      </c>
      <c r="I8" s="20" t="s">
        <v>385</v>
      </c>
      <c r="J8" s="19">
        <v>46105</v>
      </c>
      <c r="K8" s="19"/>
      <c r="L8" s="10">
        <f>IF(K8="",'Check Rules'!$B$11-J8,K8-J8)</f>
        <v>37</v>
      </c>
    </row>
    <row r="9" spans="1:12" x14ac:dyDescent="0.25">
      <c r="A9" s="10" t="s">
        <v>328</v>
      </c>
      <c r="B9" s="10" t="s">
        <v>82</v>
      </c>
      <c r="C9" s="10" t="s">
        <v>325</v>
      </c>
      <c r="D9" s="10" t="s">
        <v>326</v>
      </c>
      <c r="E9" s="20" t="s">
        <v>386</v>
      </c>
      <c r="F9" s="20" t="s">
        <v>387</v>
      </c>
      <c r="G9" s="10" t="s">
        <v>293</v>
      </c>
      <c r="H9" s="10" t="s">
        <v>87</v>
      </c>
      <c r="I9" s="20"/>
      <c r="J9" s="19">
        <v>46107</v>
      </c>
      <c r="K9" s="19"/>
      <c r="L9" s="10">
        <f>IF(K9="",'Check Rules'!$B$11-J9,K9-J9)</f>
        <v>35</v>
      </c>
    </row>
    <row r="10" spans="1:12" ht="30" x14ac:dyDescent="0.25">
      <c r="A10" s="10" t="s">
        <v>333</v>
      </c>
      <c r="B10" s="10" t="s">
        <v>82</v>
      </c>
      <c r="C10" s="10" t="s">
        <v>330</v>
      </c>
      <c r="D10" s="10" t="s">
        <v>331</v>
      </c>
      <c r="E10" s="20" t="s">
        <v>388</v>
      </c>
      <c r="F10" s="20" t="s">
        <v>389</v>
      </c>
      <c r="G10" s="10" t="s">
        <v>307</v>
      </c>
      <c r="H10" s="10" t="s">
        <v>88</v>
      </c>
      <c r="I10" s="20"/>
      <c r="J10" s="19">
        <v>46109</v>
      </c>
      <c r="K10" s="19"/>
      <c r="L10" s="10">
        <f>IF(K10="",'Check Rules'!$B$11-J10,K10-J10)</f>
        <v>33</v>
      </c>
    </row>
    <row r="11" spans="1:12" ht="30" x14ac:dyDescent="0.25">
      <c r="A11" s="10" t="s">
        <v>338</v>
      </c>
      <c r="B11" s="10" t="s">
        <v>82</v>
      </c>
      <c r="C11" s="10" t="s">
        <v>335</v>
      </c>
      <c r="D11" s="10" t="s">
        <v>336</v>
      </c>
      <c r="E11" s="20" t="s">
        <v>390</v>
      </c>
      <c r="F11" s="20" t="s">
        <v>391</v>
      </c>
      <c r="G11" s="10" t="s">
        <v>293</v>
      </c>
      <c r="H11" s="10" t="s">
        <v>87</v>
      </c>
      <c r="I11" s="20"/>
      <c r="J11" s="19">
        <v>46111</v>
      </c>
      <c r="K11" s="19"/>
      <c r="L11" s="10">
        <f>IF(K11="",'Check Rules'!$B$11-J11,K11-J11)</f>
        <v>31</v>
      </c>
    </row>
    <row r="12" spans="1:12" ht="30" x14ac:dyDescent="0.25">
      <c r="A12" s="10" t="s">
        <v>343</v>
      </c>
      <c r="B12" s="10" t="s">
        <v>82</v>
      </c>
      <c r="C12" s="10" t="s">
        <v>340</v>
      </c>
      <c r="D12" s="10" t="s">
        <v>341</v>
      </c>
      <c r="E12" s="20" t="s">
        <v>392</v>
      </c>
      <c r="F12" s="20" t="s">
        <v>393</v>
      </c>
      <c r="G12" s="10" t="s">
        <v>293</v>
      </c>
      <c r="H12" s="10" t="s">
        <v>87</v>
      </c>
      <c r="I12" s="20"/>
      <c r="J12" s="19">
        <v>46113</v>
      </c>
      <c r="K12" s="19"/>
      <c r="L12" s="10">
        <f>IF(K12="",'Check Rules'!$B$11-J12,K12-J12)</f>
        <v>29</v>
      </c>
    </row>
    <row r="13" spans="1:12" x14ac:dyDescent="0.25">
      <c r="A13" s="10" t="s">
        <v>349</v>
      </c>
      <c r="B13" s="10" t="s">
        <v>82</v>
      </c>
      <c r="C13" s="10" t="s">
        <v>345</v>
      </c>
      <c r="D13" s="10" t="s">
        <v>346</v>
      </c>
      <c r="E13" s="20" t="s">
        <v>394</v>
      </c>
      <c r="F13" s="20" t="s">
        <v>395</v>
      </c>
      <c r="G13" s="10" t="s">
        <v>348</v>
      </c>
      <c r="H13" s="10" t="s">
        <v>87</v>
      </c>
      <c r="I13" s="20"/>
      <c r="J13" s="19">
        <v>46115</v>
      </c>
      <c r="K13" s="19"/>
      <c r="L13" s="10">
        <f>IF(K13="",'Check Rules'!$B$11-J13,K13-J13)</f>
        <v>27</v>
      </c>
    </row>
    <row r="14" spans="1:12" x14ac:dyDescent="0.25">
      <c r="A14" s="10" t="s">
        <v>351</v>
      </c>
      <c r="B14" s="10" t="s">
        <v>83</v>
      </c>
      <c r="C14" s="10" t="s">
        <v>259</v>
      </c>
      <c r="D14" s="10" t="s">
        <v>341</v>
      </c>
      <c r="E14" s="20" t="s">
        <v>396</v>
      </c>
      <c r="F14" s="20" t="s">
        <v>397</v>
      </c>
      <c r="G14" s="10" t="s">
        <v>293</v>
      </c>
      <c r="H14" s="10" t="s">
        <v>87</v>
      </c>
      <c r="I14" s="20"/>
      <c r="J14" s="19">
        <v>46117</v>
      </c>
      <c r="K14" s="19"/>
      <c r="L14" s="10">
        <f>IF(K14="",'Check Rules'!$B$11-J14,K14-J14)</f>
        <v>25</v>
      </c>
    </row>
    <row r="15" spans="1:12" x14ac:dyDescent="0.25">
      <c r="A15" s="10" t="s">
        <v>354</v>
      </c>
      <c r="B15" s="10" t="s">
        <v>83</v>
      </c>
      <c r="C15" s="10" t="s">
        <v>219</v>
      </c>
      <c r="D15" s="10" t="s">
        <v>352</v>
      </c>
      <c r="E15" s="20" t="s">
        <v>398</v>
      </c>
      <c r="F15" s="20" t="s">
        <v>399</v>
      </c>
      <c r="G15" s="10" t="s">
        <v>307</v>
      </c>
      <c r="H15" s="10" t="s">
        <v>88</v>
      </c>
      <c r="I15" s="20"/>
      <c r="J15" s="19">
        <v>46119</v>
      </c>
      <c r="K15" s="19"/>
      <c r="L15" s="10">
        <f>IF(K15="",'Check Rules'!$B$11-J15,K15-J15)</f>
        <v>23</v>
      </c>
    </row>
    <row r="16" spans="1:12" x14ac:dyDescent="0.25">
      <c r="A16" s="10" t="s">
        <v>355</v>
      </c>
      <c r="B16" s="10" t="s">
        <v>83</v>
      </c>
      <c r="C16" s="10" t="s">
        <v>236</v>
      </c>
      <c r="D16" s="10" t="s">
        <v>352</v>
      </c>
      <c r="E16" s="20" t="s">
        <v>398</v>
      </c>
      <c r="F16" s="20" t="s">
        <v>399</v>
      </c>
      <c r="G16" s="10" t="s">
        <v>307</v>
      </c>
      <c r="H16" s="10" t="s">
        <v>90</v>
      </c>
      <c r="I16" s="20" t="s">
        <v>400</v>
      </c>
      <c r="J16" s="19">
        <v>46121</v>
      </c>
      <c r="K16" s="19">
        <v>46129</v>
      </c>
      <c r="L16" s="10">
        <f>IF(K16="",'Check Rules'!$B$11-J16,K16-J16)</f>
        <v>8</v>
      </c>
    </row>
    <row r="17" spans="1:12" ht="30" x14ac:dyDescent="0.25">
      <c r="A17" s="10" t="s">
        <v>358</v>
      </c>
      <c r="B17" s="10" t="s">
        <v>83</v>
      </c>
      <c r="C17" s="10" t="s">
        <v>229</v>
      </c>
      <c r="D17" s="10" t="s">
        <v>356</v>
      </c>
      <c r="E17" s="20" t="s">
        <v>401</v>
      </c>
      <c r="F17" s="20" t="s">
        <v>402</v>
      </c>
      <c r="G17" s="10" t="s">
        <v>293</v>
      </c>
      <c r="H17" s="10" t="s">
        <v>87</v>
      </c>
      <c r="I17" s="20"/>
      <c r="J17" s="19">
        <v>46123</v>
      </c>
      <c r="K17" s="19"/>
      <c r="L17" s="10">
        <f>IF(K17="",'Check Rules'!$B$11-J17,K17-J17)</f>
        <v>19</v>
      </c>
    </row>
    <row r="18" spans="1:12" ht="30" x14ac:dyDescent="0.25">
      <c r="A18" s="10" t="s">
        <v>361</v>
      </c>
      <c r="B18" s="10" t="s">
        <v>83</v>
      </c>
      <c r="C18" s="10" t="s">
        <v>243</v>
      </c>
      <c r="D18" s="10" t="s">
        <v>359</v>
      </c>
      <c r="E18" s="20" t="s">
        <v>403</v>
      </c>
      <c r="F18" s="20" t="s">
        <v>404</v>
      </c>
      <c r="G18" s="10" t="s">
        <v>293</v>
      </c>
      <c r="H18" s="10" t="s">
        <v>87</v>
      </c>
      <c r="I18" s="20"/>
      <c r="J18" s="19">
        <v>46125</v>
      </c>
      <c r="K18" s="19"/>
      <c r="L18" s="10">
        <f>IF(K18="",'Check Rules'!$B$11-J18,K18-J18)</f>
        <v>17</v>
      </c>
    </row>
  </sheetData>
  <autoFilter ref="A1:L18" xr:uid="{00000000-0009-0000-0000-000006000000}"/>
  <conditionalFormatting sqref="H2:H18">
    <cfRule type="expression" dxfId="0" priority="2">
      <formula>H2="Closed"</formula>
    </cfRule>
  </conditionalFormatting>
  <dataValidations count="1">
    <dataValidation type="list" allowBlank="1" sqref="H2:H18" xr:uid="{00000000-0002-0000-0600-000000000000}">
      <formula1>"Open,Sent to site,Answered,Closed"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8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16" customWidth="1"/>
    <col min="3" max="3" width="36" customWidth="1"/>
    <col min="4" max="4" width="10" customWidth="1"/>
    <col min="5" max="5" width="60" customWidth="1"/>
  </cols>
  <sheetData>
    <row r="1" spans="1:5" ht="21" x14ac:dyDescent="0.35">
      <c r="A1" s="3" t="s">
        <v>405</v>
      </c>
    </row>
    <row r="2" spans="1:5" x14ac:dyDescent="0.25">
      <c r="A2" s="6" t="s">
        <v>406</v>
      </c>
    </row>
    <row r="3" spans="1:5" x14ac:dyDescent="0.25">
      <c r="A3" s="11" t="s">
        <v>407</v>
      </c>
      <c r="B3" s="21">
        <v>18</v>
      </c>
    </row>
    <row r="4" spans="1:5" x14ac:dyDescent="0.25">
      <c r="A4" s="11" t="s">
        <v>408</v>
      </c>
      <c r="B4" s="21">
        <v>85</v>
      </c>
    </row>
    <row r="5" spans="1:5" x14ac:dyDescent="0.25">
      <c r="A5" s="11" t="s">
        <v>409</v>
      </c>
      <c r="B5" s="21">
        <v>35</v>
      </c>
    </row>
    <row r="6" spans="1:5" x14ac:dyDescent="0.25">
      <c r="A6" s="11" t="s">
        <v>410</v>
      </c>
      <c r="B6" s="21">
        <v>200</v>
      </c>
    </row>
    <row r="7" spans="1:5" x14ac:dyDescent="0.25">
      <c r="A7" s="11" t="s">
        <v>411</v>
      </c>
      <c r="B7" s="21">
        <v>70</v>
      </c>
    </row>
    <row r="8" spans="1:5" x14ac:dyDescent="0.25">
      <c r="A8" s="11" t="s">
        <v>412</v>
      </c>
      <c r="B8" s="21">
        <v>220</v>
      </c>
    </row>
    <row r="9" spans="1:5" x14ac:dyDescent="0.25">
      <c r="A9" s="11" t="s">
        <v>413</v>
      </c>
      <c r="B9" s="21">
        <v>40</v>
      </c>
    </row>
    <row r="10" spans="1:5" x14ac:dyDescent="0.25">
      <c r="A10" s="11" t="s">
        <v>414</v>
      </c>
      <c r="B10" s="21">
        <v>130</v>
      </c>
    </row>
    <row r="11" spans="1:5" x14ac:dyDescent="0.25">
      <c r="A11" s="11" t="s">
        <v>415</v>
      </c>
      <c r="B11" s="22">
        <v>46142</v>
      </c>
    </row>
    <row r="13" spans="1:5" x14ac:dyDescent="0.25">
      <c r="A13" s="23" t="s">
        <v>416</v>
      </c>
      <c r="B13" s="23" t="s">
        <v>80</v>
      </c>
      <c r="C13" s="23" t="s">
        <v>417</v>
      </c>
      <c r="D13" s="23" t="s">
        <v>365</v>
      </c>
      <c r="E13" s="23" t="s">
        <v>418</v>
      </c>
    </row>
    <row r="14" spans="1:5" x14ac:dyDescent="0.25">
      <c r="A14" s="11" t="s">
        <v>419</v>
      </c>
      <c r="B14" s="11" t="s">
        <v>60</v>
      </c>
      <c r="C14" s="11" t="s">
        <v>291</v>
      </c>
      <c r="D14" s="11" t="s">
        <v>293</v>
      </c>
      <c r="E14" s="11" t="s">
        <v>420</v>
      </c>
    </row>
    <row r="15" spans="1:5" x14ac:dyDescent="0.25">
      <c r="A15" s="11" t="s">
        <v>421</v>
      </c>
      <c r="B15" s="11" t="s">
        <v>60</v>
      </c>
      <c r="C15" s="11" t="s">
        <v>422</v>
      </c>
      <c r="D15" s="11" t="s">
        <v>293</v>
      </c>
      <c r="E15" s="11" t="s">
        <v>423</v>
      </c>
    </row>
    <row r="16" spans="1:5" x14ac:dyDescent="0.25">
      <c r="A16" s="11" t="s">
        <v>424</v>
      </c>
      <c r="B16" s="11" t="s">
        <v>60</v>
      </c>
      <c r="C16" s="11" t="s">
        <v>425</v>
      </c>
      <c r="D16" s="11" t="s">
        <v>293</v>
      </c>
      <c r="E16" s="11" t="s">
        <v>426</v>
      </c>
    </row>
    <row r="17" spans="1:5" x14ac:dyDescent="0.25">
      <c r="A17" s="11" t="s">
        <v>427</v>
      </c>
      <c r="B17" s="11" t="s">
        <v>82</v>
      </c>
      <c r="C17" s="11" t="s">
        <v>341</v>
      </c>
      <c r="D17" s="11" t="s">
        <v>293</v>
      </c>
      <c r="E17" s="11" t="s">
        <v>428</v>
      </c>
    </row>
    <row r="18" spans="1:5" x14ac:dyDescent="0.25">
      <c r="A18" s="11" t="s">
        <v>429</v>
      </c>
      <c r="B18" s="11" t="s">
        <v>82</v>
      </c>
      <c r="C18" s="11" t="s">
        <v>336</v>
      </c>
      <c r="D18" s="11" t="s">
        <v>293</v>
      </c>
      <c r="E18" s="11" t="s">
        <v>430</v>
      </c>
    </row>
    <row r="19" spans="1:5" x14ac:dyDescent="0.25">
      <c r="A19" s="11" t="s">
        <v>431</v>
      </c>
      <c r="B19" s="11" t="s">
        <v>82</v>
      </c>
      <c r="C19" s="11" t="s">
        <v>432</v>
      </c>
      <c r="D19" s="11" t="s">
        <v>307</v>
      </c>
      <c r="E19" s="11" t="s">
        <v>433</v>
      </c>
    </row>
    <row r="20" spans="1:5" x14ac:dyDescent="0.25">
      <c r="A20" s="11" t="s">
        <v>434</v>
      </c>
      <c r="B20" s="11" t="s">
        <v>82</v>
      </c>
      <c r="C20" s="11" t="s">
        <v>435</v>
      </c>
      <c r="D20" s="11" t="s">
        <v>293</v>
      </c>
      <c r="E20" s="11" t="s">
        <v>436</v>
      </c>
    </row>
    <row r="21" spans="1:5" x14ac:dyDescent="0.25">
      <c r="A21" s="11" t="s">
        <v>437</v>
      </c>
      <c r="B21" s="11" t="s">
        <v>82</v>
      </c>
      <c r="C21" s="11" t="s">
        <v>438</v>
      </c>
      <c r="D21" s="11" t="s">
        <v>293</v>
      </c>
      <c r="E21" s="11" t="s">
        <v>439</v>
      </c>
    </row>
    <row r="22" spans="1:5" x14ac:dyDescent="0.25">
      <c r="A22" s="11" t="s">
        <v>440</v>
      </c>
      <c r="B22" s="11" t="s">
        <v>82</v>
      </c>
      <c r="C22" s="11" t="s">
        <v>441</v>
      </c>
      <c r="D22" s="11" t="s">
        <v>293</v>
      </c>
      <c r="E22" s="11" t="s">
        <v>439</v>
      </c>
    </row>
    <row r="23" spans="1:5" x14ac:dyDescent="0.25">
      <c r="A23" s="11" t="s">
        <v>442</v>
      </c>
      <c r="B23" s="11" t="s">
        <v>82</v>
      </c>
      <c r="C23" s="11" t="s">
        <v>443</v>
      </c>
      <c r="D23" s="11" t="s">
        <v>307</v>
      </c>
      <c r="E23" s="11" t="s">
        <v>444</v>
      </c>
    </row>
    <row r="24" spans="1:5" x14ac:dyDescent="0.25">
      <c r="A24" s="11" t="s">
        <v>445</v>
      </c>
      <c r="B24" s="11" t="s">
        <v>82</v>
      </c>
      <c r="C24" s="11" t="s">
        <v>346</v>
      </c>
      <c r="D24" s="11" t="s">
        <v>348</v>
      </c>
      <c r="E24" s="11" t="s">
        <v>446</v>
      </c>
    </row>
    <row r="25" spans="1:5" x14ac:dyDescent="0.25">
      <c r="A25" s="11" t="s">
        <v>447</v>
      </c>
      <c r="B25" s="11" t="s">
        <v>83</v>
      </c>
      <c r="C25" s="11" t="s">
        <v>341</v>
      </c>
      <c r="D25" s="11" t="s">
        <v>293</v>
      </c>
      <c r="E25" s="11" t="s">
        <v>448</v>
      </c>
    </row>
    <row r="26" spans="1:5" x14ac:dyDescent="0.25">
      <c r="A26" s="11" t="s">
        <v>449</v>
      </c>
      <c r="B26" s="11" t="s">
        <v>83</v>
      </c>
      <c r="C26" s="11" t="s">
        <v>359</v>
      </c>
      <c r="D26" s="11" t="s">
        <v>293</v>
      </c>
      <c r="E26" s="11" t="s">
        <v>450</v>
      </c>
    </row>
    <row r="27" spans="1:5" x14ac:dyDescent="0.25">
      <c r="A27" s="11" t="s">
        <v>451</v>
      </c>
      <c r="B27" s="11" t="s">
        <v>83</v>
      </c>
      <c r="C27" s="11" t="s">
        <v>352</v>
      </c>
      <c r="D27" s="11" t="s">
        <v>307</v>
      </c>
      <c r="E27" s="11" t="s">
        <v>452</v>
      </c>
    </row>
    <row r="28" spans="1:5" x14ac:dyDescent="0.25">
      <c r="A28" s="11" t="s">
        <v>453</v>
      </c>
      <c r="B28" s="11" t="s">
        <v>83</v>
      </c>
      <c r="C28" s="11" t="s">
        <v>454</v>
      </c>
      <c r="D28" s="11" t="s">
        <v>293</v>
      </c>
      <c r="E28" s="11" t="s">
        <v>455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Metadata/LabelInfo.xml><?xml version="1.0" encoding="utf-8"?>
<clbl:labelList xmlns:clbl="http://schemas.microsoft.com/office/2020/mipLabelMetadata">
  <clbl:label id="{127fa96e-00b4-429e-95f9-72c2828437a4}" enabled="0" method="" siteId="{127fa96e-00b4-429e-95f9-72c2828437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Dashboard</vt:lpstr>
      <vt:lpstr>Subjects</vt:lpstr>
      <vt:lpstr>Visits</vt:lpstr>
      <vt:lpstr>Adverse Events</vt:lpstr>
      <vt:lpstr>Data Checks</vt:lpstr>
      <vt:lpstr>Query Log</vt:lpstr>
      <vt:lpstr>Check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Shaziya Thabassum J</cp:lastModifiedBy>
  <cp:revision>1</cp:revision>
  <dcterms:created xsi:type="dcterms:W3CDTF">2026-10-12T16:39:30Z</dcterms:created>
  <dcterms:modified xsi:type="dcterms:W3CDTF">2026-10-12T17:09:11Z</dcterms:modified>
  <dc:language>en-US</dc:language>
</cp:coreProperties>
</file>